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ドキュメント\MyBook\LecNotes\"/>
    </mc:Choice>
  </mc:AlternateContent>
  <xr:revisionPtr revIDLastSave="0" documentId="13_ncr:1_{32219BA2-9174-4A01-9399-61CE9C14CE12}" xr6:coauthVersionLast="47" xr6:coauthVersionMax="47" xr10:uidLastSave="{00000000-0000-0000-0000-000000000000}"/>
  <bookViews>
    <workbookView xWindow="1320" yWindow="4460" windowWidth="15300" windowHeight="15460" tabRatio="835" activeTab="4" xr2:uid="{00000000-000D-0000-FFFF-FFFF00000000}"/>
  </bookViews>
  <sheets>
    <sheet name="8.1" sheetId="11" r:id="rId1"/>
    <sheet name="8.1(2)" sheetId="13" r:id="rId2"/>
    <sheet name="8.1(3)" sheetId="16" r:id="rId3"/>
    <sheet name="8.1(4)" sheetId="17" r:id="rId4"/>
    <sheet name="8.2" sheetId="37" r:id="rId5"/>
    <sheet name="8.4" sheetId="49" r:id="rId6"/>
    <sheet name="8.5GS" sheetId="51" r:id="rId7"/>
    <sheet name="8.5SLV" sheetId="52" r:id="rId8"/>
    <sheet name="9.2" sheetId="18" r:id="rId9"/>
    <sheet name="9.2tbr" sheetId="53" r:id="rId10"/>
    <sheet name="9.5" sheetId="19" r:id="rId11"/>
    <sheet name="9.5tbr" sheetId="54" r:id="rId12"/>
    <sheet name="9.6" sheetId="20" r:id="rId13"/>
    <sheet name="9.6tbr" sheetId="55" r:id="rId14"/>
    <sheet name="9.8" sheetId="21" r:id="rId15"/>
    <sheet name="9.10" sheetId="22" r:id="rId16"/>
    <sheet name="9.11" sheetId="23" r:id="rId17"/>
    <sheet name="9.13" sheetId="24" r:id="rId18"/>
    <sheet name="9.15" sheetId="32" r:id="rId19"/>
    <sheet name="9.16" sheetId="33" r:id="rId20"/>
    <sheet name="9.17" sheetId="34" r:id="rId21"/>
    <sheet name="9.17(2)" sheetId="43" r:id="rId22"/>
    <sheet name="9.18" sheetId="44" r:id="rId23"/>
    <sheet name="9.19" sheetId="36" r:id="rId24"/>
    <sheet name="10.1" sheetId="46" r:id="rId25"/>
    <sheet name="10.5" sheetId="47" r:id="rId26"/>
    <sheet name="10.7" sheetId="48" r:id="rId27"/>
    <sheet name="10.11" sheetId="45" r:id="rId28"/>
  </sheets>
  <functionGroups builtInGroupCount="19"/>
  <externalReferences>
    <externalReference r:id="rId29"/>
    <externalReference r:id="rId30"/>
  </externalReferences>
  <definedNames>
    <definedName name="__123Graph_A" localSheetId="4" hidden="1">[1]DATE!#REF!</definedName>
    <definedName name="__123Graph_A" localSheetId="18" hidden="1">[1]DATE!#REF!</definedName>
    <definedName name="__123Graph_A" localSheetId="19" hidden="1">[1]DATE!#REF!</definedName>
    <definedName name="__123Graph_A" localSheetId="20" hidden="1">[1]DATE!#REF!</definedName>
    <definedName name="__123Graph_A" localSheetId="21" hidden="1">[1]DATE!#REF!</definedName>
    <definedName name="__123Graph_A" localSheetId="22" hidden="1">[1]DATE!#REF!</definedName>
    <definedName name="__123Graph_A" localSheetId="23" hidden="1">[1]DATE!#REF!</definedName>
    <definedName name="__123Graph_A" hidden="1">[1]DATE!#REF!</definedName>
    <definedName name="__123Graph_B" localSheetId="4" hidden="1">[1]DATE!#REF!</definedName>
    <definedName name="__123Graph_B" localSheetId="18" hidden="1">[1]DATE!#REF!</definedName>
    <definedName name="__123Graph_B" localSheetId="19" hidden="1">[1]DATE!#REF!</definedName>
    <definedName name="__123Graph_B" localSheetId="20" hidden="1">[1]DATE!#REF!</definedName>
    <definedName name="__123Graph_B" localSheetId="21" hidden="1">[1]DATE!#REF!</definedName>
    <definedName name="__123Graph_B" localSheetId="22" hidden="1">[1]DATE!#REF!</definedName>
    <definedName name="__123Graph_B" localSheetId="23" hidden="1">[1]DATE!#REF!</definedName>
    <definedName name="__123Graph_B" hidden="1">[1]DATE!#REF!</definedName>
    <definedName name="__123Graph_C" localSheetId="4" hidden="1">[1]DATE!#REF!</definedName>
    <definedName name="__123Graph_C" localSheetId="18" hidden="1">[1]DATE!#REF!</definedName>
    <definedName name="__123Graph_C" localSheetId="19" hidden="1">[1]DATE!#REF!</definedName>
    <definedName name="__123Graph_C" localSheetId="20" hidden="1">[1]DATE!#REF!</definedName>
    <definedName name="__123Graph_C" localSheetId="21" hidden="1">[1]DATE!#REF!</definedName>
    <definedName name="__123Graph_C" localSheetId="22" hidden="1">[1]DATE!#REF!</definedName>
    <definedName name="__123Graph_C" localSheetId="23" hidden="1">[1]DATE!#REF!</definedName>
    <definedName name="__123Graph_C" hidden="1">[1]DATE!#REF!</definedName>
    <definedName name="__123Graph_D" localSheetId="4" hidden="1">[1]DATE!#REF!</definedName>
    <definedName name="__123Graph_D" localSheetId="18" hidden="1">[1]DATE!#REF!</definedName>
    <definedName name="__123Graph_D" localSheetId="19" hidden="1">[1]DATE!#REF!</definedName>
    <definedName name="__123Graph_D" localSheetId="20" hidden="1">[1]DATE!#REF!</definedName>
    <definedName name="__123Graph_D" localSheetId="21" hidden="1">[1]DATE!#REF!</definedName>
    <definedName name="__123Graph_D" localSheetId="22" hidden="1">[1]DATE!#REF!</definedName>
    <definedName name="__123Graph_D" localSheetId="23" hidden="1">[1]DATE!#REF!</definedName>
    <definedName name="__123Graph_D" hidden="1">[1]DATE!#REF!</definedName>
    <definedName name="__123Graph_E" localSheetId="4" hidden="1">[1]DATE!#REF!</definedName>
    <definedName name="__123Graph_E" localSheetId="18" hidden="1">[1]DATE!#REF!</definedName>
    <definedName name="__123Graph_E" localSheetId="19" hidden="1">[1]DATE!#REF!</definedName>
    <definedName name="__123Graph_E" localSheetId="20" hidden="1">[1]DATE!#REF!</definedName>
    <definedName name="__123Graph_E" localSheetId="21" hidden="1">[1]DATE!#REF!</definedName>
    <definedName name="__123Graph_E" localSheetId="22" hidden="1">[1]DATE!#REF!</definedName>
    <definedName name="__123Graph_E" localSheetId="23" hidden="1">[1]DATE!#REF!</definedName>
    <definedName name="__123Graph_E" hidden="1">[1]DATE!#REF!</definedName>
    <definedName name="__123Graph_F" localSheetId="4" hidden="1">[1]DATE!#REF!</definedName>
    <definedName name="__123Graph_F" localSheetId="18" hidden="1">[1]DATE!#REF!</definedName>
    <definedName name="__123Graph_F" localSheetId="19" hidden="1">[1]DATE!#REF!</definedName>
    <definedName name="__123Graph_F" localSheetId="20" hidden="1">[1]DATE!#REF!</definedName>
    <definedName name="__123Graph_F" localSheetId="21" hidden="1">[1]DATE!#REF!</definedName>
    <definedName name="__123Graph_F" localSheetId="22" hidden="1">[1]DATE!#REF!</definedName>
    <definedName name="__123Graph_F" localSheetId="23" hidden="1">[1]DATE!#REF!</definedName>
    <definedName name="__123Graph_F" hidden="1">[1]DATE!#REF!</definedName>
    <definedName name="__123Graph_LBL_A" localSheetId="4" hidden="1">[1]DATE!#REF!</definedName>
    <definedName name="__123Graph_LBL_A" localSheetId="18" hidden="1">[1]DATE!#REF!</definedName>
    <definedName name="__123Graph_LBL_A" localSheetId="19" hidden="1">[1]DATE!#REF!</definedName>
    <definedName name="__123Graph_LBL_A" localSheetId="20" hidden="1">[1]DATE!#REF!</definedName>
    <definedName name="__123Graph_LBL_A" localSheetId="21" hidden="1">[1]DATE!#REF!</definedName>
    <definedName name="__123Graph_LBL_A" localSheetId="22" hidden="1">[1]DATE!#REF!</definedName>
    <definedName name="__123Graph_LBL_A" localSheetId="23" hidden="1">[1]DATE!#REF!</definedName>
    <definedName name="__123Graph_LBL_A" hidden="1">[1]DATE!#REF!</definedName>
    <definedName name="__123Graph_LBL_B" localSheetId="4" hidden="1">[1]DATE!#REF!</definedName>
    <definedName name="__123Graph_LBL_B" localSheetId="18" hidden="1">[1]DATE!#REF!</definedName>
    <definedName name="__123Graph_LBL_B" localSheetId="19" hidden="1">[1]DATE!#REF!</definedName>
    <definedName name="__123Graph_LBL_B" localSheetId="20" hidden="1">[1]DATE!#REF!</definedName>
    <definedName name="__123Graph_LBL_B" localSheetId="21" hidden="1">[1]DATE!#REF!</definedName>
    <definedName name="__123Graph_LBL_B" localSheetId="22" hidden="1">[1]DATE!#REF!</definedName>
    <definedName name="__123Graph_LBL_B" localSheetId="23" hidden="1">[1]DATE!#REF!</definedName>
    <definedName name="__123Graph_LBL_B" hidden="1">[1]DATE!#REF!</definedName>
    <definedName name="__123Graph_X" localSheetId="4" hidden="1">[1]DATE!#REF!</definedName>
    <definedName name="__123Graph_X" localSheetId="18" hidden="1">[1]DATE!#REF!</definedName>
    <definedName name="__123Graph_X" localSheetId="19" hidden="1">[1]DATE!#REF!</definedName>
    <definedName name="__123Graph_X" localSheetId="20" hidden="1">[1]DATE!#REF!</definedName>
    <definedName name="__123Graph_X" localSheetId="21" hidden="1">[1]DATE!#REF!</definedName>
    <definedName name="__123Graph_X" localSheetId="22" hidden="1">[1]DATE!#REF!</definedName>
    <definedName name="__123Graph_X" localSheetId="23" hidden="1">[1]DATE!#REF!</definedName>
    <definedName name="__123Graph_X" hidden="1">[1]DATE!#REF!</definedName>
    <definedName name="PartialBarrier" localSheetId="5">[2]!PartialBarrier</definedName>
    <definedName name="PartialBarrier" localSheetId="6">[2]!PartialBarrier</definedName>
    <definedName name="PartialBarrier" localSheetId="7">[2]!PartialBarrier</definedName>
    <definedName name="PartialBarrier" localSheetId="9">[2]!PartialBarrier</definedName>
    <definedName name="PartialBarrier" localSheetId="11">[2]!PartialBarrier</definedName>
    <definedName name="PartialBarrier" localSheetId="13">[2]!PartialBarrier</definedName>
    <definedName name="PartialBarrier">[2]!PartialBarrier</definedName>
    <definedName name="solver_adj" localSheetId="4" hidden="1">'8.2'!#REF!</definedName>
    <definedName name="solver_adj" localSheetId="5" hidden="1">'8.4'!$G$1</definedName>
    <definedName name="solver_adj" localSheetId="6" hidden="1">'8.5GS'!$G$1</definedName>
    <definedName name="solver_adj" localSheetId="7" hidden="1">'8.5SLV'!$G$1</definedName>
    <definedName name="solver_adj" localSheetId="15" hidden="1">'9.10'!#REF!</definedName>
    <definedName name="solver_adj" localSheetId="16" hidden="1">'9.11'!#REF!</definedName>
    <definedName name="solver_adj" localSheetId="18" hidden="1">'9.15'!#REF!</definedName>
    <definedName name="solver_adj" localSheetId="19" hidden="1">'9.16'!#REF!</definedName>
    <definedName name="solver_adj" localSheetId="20" hidden="1">'9.17'!#REF!</definedName>
    <definedName name="solver_adj" localSheetId="21" hidden="1">'9.17(2)'!#REF!</definedName>
    <definedName name="solver_adj" localSheetId="22" hidden="1">'9.18'!#REF!</definedName>
    <definedName name="solver_adj" localSheetId="23" hidden="1">'9.19'!#REF!</definedName>
    <definedName name="solver_adj" localSheetId="8" hidden="1">'9.2'!#REF!</definedName>
    <definedName name="solver_adj" localSheetId="9" hidden="1">'9.2tbr'!#REF!</definedName>
    <definedName name="solver_adj" localSheetId="10" hidden="1">'9.5'!#REF!</definedName>
    <definedName name="solver_adj" localSheetId="11" hidden="1">'9.5tbr'!#REF!</definedName>
    <definedName name="solver_adj" localSheetId="12" hidden="1">'9.6'!#REF!</definedName>
    <definedName name="solver_adj" localSheetId="13" hidden="1">'9.6tbr'!#REF!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15" hidden="1">0.0001</definedName>
    <definedName name="solver_cvg" localSheetId="16" hidden="1">0.0001</definedName>
    <definedName name="solver_cvg" localSheetId="18" hidden="1">0.0001</definedName>
    <definedName name="solver_cvg" localSheetId="19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23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15" hidden="1">1</definedName>
    <definedName name="solver_drv" localSheetId="16" hidden="1">1</definedName>
    <definedName name="solver_drv" localSheetId="18" hidden="1">1</definedName>
    <definedName name="solver_drv" localSheetId="19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23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eng" localSheetId="6" hidden="1">1</definedName>
    <definedName name="solver_eng" localSheetId="7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15" hidden="1">1</definedName>
    <definedName name="solver_est" localSheetId="16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23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15" hidden="1">100</definedName>
    <definedName name="solver_itr" localSheetId="16" hidden="1">100</definedName>
    <definedName name="solver_itr" localSheetId="18" hidden="1">100</definedName>
    <definedName name="solver_itr" localSheetId="19" hidden="1">100</definedName>
    <definedName name="solver_itr" localSheetId="20" hidden="1">100</definedName>
    <definedName name="solver_itr" localSheetId="21" hidden="1">100</definedName>
    <definedName name="solver_itr" localSheetId="22" hidden="1">100</definedName>
    <definedName name="solver_itr" localSheetId="23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lhs1" localSheetId="4" hidden="1">'8.2'!#REF!</definedName>
    <definedName name="solver_lhs1" localSheetId="15" hidden="1">'9.10'!#REF!</definedName>
    <definedName name="solver_lhs1" localSheetId="16" hidden="1">'9.11'!#REF!</definedName>
    <definedName name="solver_lhs1" localSheetId="18" hidden="1">'9.15'!#REF!</definedName>
    <definedName name="solver_lhs1" localSheetId="19" hidden="1">'9.16'!#REF!</definedName>
    <definedName name="solver_lhs1" localSheetId="20" hidden="1">'9.17'!#REF!</definedName>
    <definedName name="solver_lhs1" localSheetId="21" hidden="1">'9.17(2)'!#REF!</definedName>
    <definedName name="solver_lhs1" localSheetId="22" hidden="1">'9.18'!#REF!</definedName>
    <definedName name="solver_lhs1" localSheetId="23" hidden="1">'9.19'!#REF!</definedName>
    <definedName name="solver_lhs1" localSheetId="8" hidden="1">'9.2'!#REF!</definedName>
    <definedName name="solver_lhs1" localSheetId="9" hidden="1">'9.2tbr'!#REF!</definedName>
    <definedName name="solver_lhs1" localSheetId="10" hidden="1">'9.5'!#REF!</definedName>
    <definedName name="solver_lhs1" localSheetId="11" hidden="1">'9.5tbr'!#REF!</definedName>
    <definedName name="solver_lhs1" localSheetId="12" hidden="1">'9.6'!#REF!</definedName>
    <definedName name="solver_lhs1" localSheetId="13" hidden="1">'9.6tbr'!#REF!</definedName>
    <definedName name="solver_lhs2" localSheetId="4" hidden="1">'8.2'!#REF!</definedName>
    <definedName name="solver_lhs2" localSheetId="15" hidden="1">'9.10'!#REF!</definedName>
    <definedName name="solver_lhs2" localSheetId="16" hidden="1">'9.11'!#REF!</definedName>
    <definedName name="solver_lhs2" localSheetId="18" hidden="1">'9.15'!#REF!</definedName>
    <definedName name="solver_lhs2" localSheetId="19" hidden="1">'9.16'!#REF!</definedName>
    <definedName name="solver_lhs2" localSheetId="20" hidden="1">'9.17'!#REF!</definedName>
    <definedName name="solver_lhs2" localSheetId="21" hidden="1">'9.17(2)'!#REF!</definedName>
    <definedName name="solver_lhs2" localSheetId="22" hidden="1">'9.18'!#REF!</definedName>
    <definedName name="solver_lhs2" localSheetId="23" hidden="1">'9.19'!#REF!</definedName>
    <definedName name="solver_lhs2" localSheetId="8" hidden="1">'9.2'!#REF!</definedName>
    <definedName name="solver_lhs2" localSheetId="9" hidden="1">'9.2tbr'!#REF!</definedName>
    <definedName name="solver_lhs2" localSheetId="10" hidden="1">'9.5'!#REF!</definedName>
    <definedName name="solver_lhs2" localSheetId="11" hidden="1">'9.5tbr'!#REF!</definedName>
    <definedName name="solver_lhs2" localSheetId="12" hidden="1">'9.6'!#REF!</definedName>
    <definedName name="solver_lhs2" localSheetId="13" hidden="1">'9.6tbr'!#REF!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15" hidden="1">2</definedName>
    <definedName name="solver_lin" localSheetId="16" hidden="1">2</definedName>
    <definedName name="solver_lin" localSheetId="18" hidden="1">2</definedName>
    <definedName name="solver_lin" localSheetId="19" hidden="1">2</definedName>
    <definedName name="solver_lin" localSheetId="20" hidden="1">2</definedName>
    <definedName name="solver_lin" localSheetId="21" hidden="1">2</definedName>
    <definedName name="solver_lin" localSheetId="22" hidden="1">2</definedName>
    <definedName name="solver_lin" localSheetId="23" hidden="1">2</definedName>
    <definedName name="solver_lin" localSheetId="8" hidden="1">2</definedName>
    <definedName name="solver_lin" localSheetId="9" hidden="1">2</definedName>
    <definedName name="solver_lin" localSheetId="10" hidden="1">2</definedName>
    <definedName name="solver_lin" localSheetId="11" hidden="1">2</definedName>
    <definedName name="solver_lin" localSheetId="12" hidden="1">2</definedName>
    <definedName name="solver_lin" localSheetId="13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15" hidden="1">2</definedName>
    <definedName name="solver_neg" localSheetId="16" hidden="1">2</definedName>
    <definedName name="solver_neg" localSheetId="18" hidden="1">2</definedName>
    <definedName name="solver_neg" localSheetId="19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23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11" hidden="1">2</definedName>
    <definedName name="solver_neg" localSheetId="12" hidden="1">2</definedName>
    <definedName name="solver_neg" localSheetId="13" hidden="1">2</definedName>
    <definedName name="solver_nod" localSheetId="6" hidden="1">2147483647</definedName>
    <definedName name="solver_nod" localSheetId="7" hidden="1">2147483647</definedName>
    <definedName name="solver_num" localSheetId="4" hidden="1">2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15" hidden="1">2</definedName>
    <definedName name="solver_num" localSheetId="16" hidden="1">2</definedName>
    <definedName name="solver_num" localSheetId="18" hidden="1">2</definedName>
    <definedName name="solver_num" localSheetId="19" hidden="1">2</definedName>
    <definedName name="solver_num" localSheetId="20" hidden="1">2</definedName>
    <definedName name="solver_num" localSheetId="21" hidden="1">2</definedName>
    <definedName name="solver_num" localSheetId="22" hidden="1">2</definedName>
    <definedName name="solver_num" localSheetId="23" hidden="1">2</definedName>
    <definedName name="solver_num" localSheetId="8" hidden="1">2</definedName>
    <definedName name="solver_num" localSheetId="9" hidden="1">2</definedName>
    <definedName name="solver_num" localSheetId="10" hidden="1">2</definedName>
    <definedName name="solver_num" localSheetId="11" hidden="1">2</definedName>
    <definedName name="solver_num" localSheetId="12" hidden="1">2</definedName>
    <definedName name="solver_num" localSheetId="13" hidden="1">2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15" hidden="1">1</definedName>
    <definedName name="solver_nwt" localSheetId="16" hidden="1">1</definedName>
    <definedName name="solver_nwt" localSheetId="18" hidden="1">1</definedName>
    <definedName name="solver_nwt" localSheetId="19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23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opt" localSheetId="4" hidden="1">'8.2'!#REF!</definedName>
    <definedName name="solver_opt" localSheetId="5" hidden="1">'8.4'!#REF!</definedName>
    <definedName name="solver_opt" localSheetId="6" hidden="1">'8.5GS'!#REF!</definedName>
    <definedName name="solver_opt" localSheetId="7" hidden="1">'8.5SLV'!$U$8</definedName>
    <definedName name="solver_opt" localSheetId="15" hidden="1">'9.10'!#REF!</definedName>
    <definedName name="solver_opt" localSheetId="16" hidden="1">'9.11'!#REF!</definedName>
    <definedName name="solver_opt" localSheetId="18" hidden="1">'9.15'!#REF!</definedName>
    <definedName name="solver_opt" localSheetId="19" hidden="1">'9.16'!#REF!</definedName>
    <definedName name="solver_opt" localSheetId="20" hidden="1">'9.17'!#REF!</definedName>
    <definedName name="solver_opt" localSheetId="21" hidden="1">'9.17(2)'!#REF!</definedName>
    <definedName name="solver_opt" localSheetId="22" hidden="1">'9.18'!#REF!</definedName>
    <definedName name="solver_opt" localSheetId="23" hidden="1">'9.19'!#REF!</definedName>
    <definedName name="solver_opt" localSheetId="8" hidden="1">'9.2'!#REF!</definedName>
    <definedName name="solver_opt" localSheetId="9" hidden="1">'9.2tbr'!#REF!</definedName>
    <definedName name="solver_opt" localSheetId="10" hidden="1">'9.5'!#REF!</definedName>
    <definedName name="solver_opt" localSheetId="11" hidden="1">'9.5tbr'!#REF!</definedName>
    <definedName name="solver_opt" localSheetId="12" hidden="1">'9.6'!#REF!</definedName>
    <definedName name="solver_opt" localSheetId="13" hidden="1">'9.6tbr'!#REF!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15" hidden="1">0.000001</definedName>
    <definedName name="solver_pre" localSheetId="16" hidden="1">0.000001</definedName>
    <definedName name="solver_pre" localSheetId="18" hidden="1">0.000001</definedName>
    <definedName name="solver_pre" localSheetId="19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23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rbv" localSheetId="6" hidden="1">1</definedName>
    <definedName name="solver_rbv" localSheetId="7" hidden="1">1</definedName>
    <definedName name="solver_rel1" localSheetId="4" hidden="1">3</definedName>
    <definedName name="solver_rel1" localSheetId="15" hidden="1">3</definedName>
    <definedName name="solver_rel1" localSheetId="16" hidden="1">3</definedName>
    <definedName name="solver_rel1" localSheetId="18" hidden="1">3</definedName>
    <definedName name="solver_rel1" localSheetId="19" hidden="1">3</definedName>
    <definedName name="solver_rel1" localSheetId="20" hidden="1">3</definedName>
    <definedName name="solver_rel1" localSheetId="21" hidden="1">3</definedName>
    <definedName name="solver_rel1" localSheetId="22" hidden="1">3</definedName>
    <definedName name="solver_rel1" localSheetId="23" hidden="1">3</definedName>
    <definedName name="solver_rel1" localSheetId="8" hidden="1">3</definedName>
    <definedName name="solver_rel1" localSheetId="9" hidden="1">3</definedName>
    <definedName name="solver_rel1" localSheetId="10" hidden="1">3</definedName>
    <definedName name="solver_rel1" localSheetId="11" hidden="1">3</definedName>
    <definedName name="solver_rel1" localSheetId="12" hidden="1">3</definedName>
    <definedName name="solver_rel1" localSheetId="13" hidden="1">3</definedName>
    <definedName name="solver_rel2" localSheetId="4" hidden="1">3</definedName>
    <definedName name="solver_rel2" localSheetId="15" hidden="1">3</definedName>
    <definedName name="solver_rel2" localSheetId="16" hidden="1">3</definedName>
    <definedName name="solver_rel2" localSheetId="18" hidden="1">3</definedName>
    <definedName name="solver_rel2" localSheetId="19" hidden="1">3</definedName>
    <definedName name="solver_rel2" localSheetId="20" hidden="1">3</definedName>
    <definedName name="solver_rel2" localSheetId="21" hidden="1">3</definedName>
    <definedName name="solver_rel2" localSheetId="22" hidden="1">3</definedName>
    <definedName name="solver_rel2" localSheetId="23" hidden="1">3</definedName>
    <definedName name="solver_rel2" localSheetId="8" hidden="1">3</definedName>
    <definedName name="solver_rel2" localSheetId="9" hidden="1">3</definedName>
    <definedName name="solver_rel2" localSheetId="10" hidden="1">3</definedName>
    <definedName name="solver_rel2" localSheetId="11" hidden="1">3</definedName>
    <definedName name="solver_rel2" localSheetId="12" hidden="1">3</definedName>
    <definedName name="solver_rel2" localSheetId="13" hidden="1">3</definedName>
    <definedName name="solver_rhs1" localSheetId="4" hidden="1">0</definedName>
    <definedName name="solver_rhs1" localSheetId="15" hidden="1">0</definedName>
    <definedName name="solver_rhs1" localSheetId="16" hidden="1">0</definedName>
    <definedName name="solver_rhs1" localSheetId="18" hidden="1">0</definedName>
    <definedName name="solver_rhs1" localSheetId="19" hidden="1">0</definedName>
    <definedName name="solver_rhs1" localSheetId="20" hidden="1">0</definedName>
    <definedName name="solver_rhs1" localSheetId="21" hidden="1">0</definedName>
    <definedName name="solver_rhs1" localSheetId="22" hidden="1">0</definedName>
    <definedName name="solver_rhs1" localSheetId="23" hidden="1">0</definedName>
    <definedName name="solver_rhs1" localSheetId="8" hidden="1">0</definedName>
    <definedName name="solver_rhs1" localSheetId="9" hidden="1">0</definedName>
    <definedName name="solver_rhs1" localSheetId="10" hidden="1">0</definedName>
    <definedName name="solver_rhs1" localSheetId="11" hidden="1">0</definedName>
    <definedName name="solver_rhs1" localSheetId="12" hidden="1">0</definedName>
    <definedName name="solver_rhs1" localSheetId="13" hidden="1">0</definedName>
    <definedName name="solver_rhs2" localSheetId="4" hidden="1">0</definedName>
    <definedName name="solver_rhs2" localSheetId="15" hidden="1">0</definedName>
    <definedName name="solver_rhs2" localSheetId="16" hidden="1">0</definedName>
    <definedName name="solver_rhs2" localSheetId="18" hidden="1">0</definedName>
    <definedName name="solver_rhs2" localSheetId="19" hidden="1">0</definedName>
    <definedName name="solver_rhs2" localSheetId="20" hidden="1">0</definedName>
    <definedName name="solver_rhs2" localSheetId="21" hidden="1">0</definedName>
    <definedName name="solver_rhs2" localSheetId="22" hidden="1">0</definedName>
    <definedName name="solver_rhs2" localSheetId="23" hidden="1">0</definedName>
    <definedName name="solver_rhs2" localSheetId="8" hidden="1">0</definedName>
    <definedName name="solver_rhs2" localSheetId="9" hidden="1">0</definedName>
    <definedName name="solver_rhs2" localSheetId="10" hidden="1">0</definedName>
    <definedName name="solver_rhs2" localSheetId="11" hidden="1">0</definedName>
    <definedName name="solver_rhs2" localSheetId="12" hidden="1">0</definedName>
    <definedName name="solver_rhs2" localSheetId="13" hidden="1">0</definedName>
    <definedName name="solver_rlx" localSheetId="6" hidden="1">1</definedName>
    <definedName name="solver_rlx" localSheetId="7" hidden="1">1</definedName>
    <definedName name="solver_rsd" localSheetId="6" hidden="1">0</definedName>
    <definedName name="solver_rsd" localSheetId="7" hidden="1">0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15" hidden="1">2</definedName>
    <definedName name="solver_scl" localSheetId="16" hidden="1">2</definedName>
    <definedName name="solver_scl" localSheetId="18" hidden="1">2</definedName>
    <definedName name="solver_scl" localSheetId="19" hidden="1">2</definedName>
    <definedName name="solver_scl" localSheetId="20" hidden="1">2</definedName>
    <definedName name="solver_scl" localSheetId="21" hidden="1">2</definedName>
    <definedName name="solver_scl" localSheetId="22" hidden="1">2</definedName>
    <definedName name="solver_scl" localSheetId="23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15" hidden="1">2</definedName>
    <definedName name="solver_sho" localSheetId="16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23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sz" localSheetId="6" hidden="1">100</definedName>
    <definedName name="solver_ssz" localSheetId="7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15" hidden="1">100</definedName>
    <definedName name="solver_tim" localSheetId="16" hidden="1">100</definedName>
    <definedName name="solver_tim" localSheetId="18" hidden="1">100</definedName>
    <definedName name="solver_tim" localSheetId="19" hidden="1">100</definedName>
    <definedName name="solver_tim" localSheetId="20" hidden="1">100</definedName>
    <definedName name="solver_tim" localSheetId="21" hidden="1">100</definedName>
    <definedName name="solver_tim" localSheetId="22" hidden="1">100</definedName>
    <definedName name="solver_tim" localSheetId="23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15" hidden="1">0.05</definedName>
    <definedName name="solver_tol" localSheetId="16" hidden="1">0.05</definedName>
    <definedName name="solver_tol" localSheetId="18" hidden="1">0.05</definedName>
    <definedName name="solver_tol" localSheetId="19" hidden="1">0.05</definedName>
    <definedName name="solver_tol" localSheetId="20" hidden="1">0.05</definedName>
    <definedName name="solver_tol" localSheetId="21" hidden="1">0.05</definedName>
    <definedName name="solver_tol" localSheetId="22" hidden="1">0.05</definedName>
    <definedName name="solver_tol" localSheetId="23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15" hidden="1">2</definedName>
    <definedName name="solver_typ" localSheetId="16" hidden="1">2</definedName>
    <definedName name="solver_typ" localSheetId="18" hidden="1">2</definedName>
    <definedName name="solver_typ" localSheetId="19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23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15" hidden="1">0</definedName>
    <definedName name="solver_val" localSheetId="16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23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er" localSheetId="6" hidden="1">3</definedName>
    <definedName name="solver_ver" localSheetId="7" hidden="1">3</definedName>
    <definedName name="Ta">#REF!</definedName>
    <definedName name="Tb">#REF!</definedName>
    <definedName name="Tc">#REF!</definedName>
    <definedName name="Td">#REF!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81029"/>
</workbook>
</file>

<file path=xl/calcChain.xml><?xml version="1.0" encoding="utf-8"?>
<calcChain xmlns="http://schemas.openxmlformats.org/spreadsheetml/2006/main">
  <c r="C15" i="55" l="1"/>
  <c r="C14" i="55"/>
  <c r="C13" i="55"/>
  <c r="C12" i="55"/>
  <c r="C11" i="55"/>
  <c r="C10" i="55"/>
  <c r="C9" i="55"/>
  <c r="C8" i="55"/>
  <c r="C7" i="55"/>
  <c r="C6" i="55"/>
  <c r="C5" i="55"/>
  <c r="C4" i="55"/>
  <c r="C3" i="55"/>
  <c r="C15" i="54"/>
  <c r="C14" i="54"/>
  <c r="C13" i="54"/>
  <c r="C12" i="54"/>
  <c r="C11" i="54"/>
  <c r="C10" i="54"/>
  <c r="C9" i="54"/>
  <c r="C8" i="54"/>
  <c r="C7" i="54"/>
  <c r="C6" i="54"/>
  <c r="C5" i="54"/>
  <c r="C4" i="54"/>
  <c r="C3" i="54"/>
  <c r="C16" i="53"/>
  <c r="C4" i="53"/>
  <c r="C5" i="53"/>
  <c r="C6" i="53"/>
  <c r="C7" i="53"/>
  <c r="C8" i="53"/>
  <c r="C9" i="53"/>
  <c r="C10" i="53"/>
  <c r="C11" i="53"/>
  <c r="C15" i="53"/>
  <c r="C14" i="53"/>
  <c r="C13" i="53"/>
  <c r="C12" i="53"/>
  <c r="C3" i="53"/>
  <c r="F4" i="55"/>
  <c r="K3" i="55"/>
  <c r="S9" i="55"/>
  <c r="Q9" i="54"/>
  <c r="J11" i="55"/>
  <c r="F4" i="54"/>
  <c r="J9" i="54"/>
  <c r="S15" i="55"/>
  <c r="K13" i="55"/>
  <c r="J7" i="55"/>
  <c r="J7" i="54"/>
  <c r="Q13" i="54"/>
  <c r="R11" i="54"/>
  <c r="R9" i="54"/>
  <c r="J9" i="55"/>
  <c r="R15" i="55"/>
  <c r="R11" i="55"/>
  <c r="J5" i="55"/>
  <c r="J5" i="54"/>
  <c r="J11" i="54"/>
  <c r="K13" i="54"/>
  <c r="K11" i="54"/>
  <c r="Q15" i="54"/>
  <c r="R13" i="55"/>
  <c r="K9" i="55"/>
  <c r="J3" i="55"/>
  <c r="J3" i="54"/>
  <c r="Q11" i="54"/>
  <c r="K7" i="54"/>
  <c r="K7" i="55"/>
  <c r="K9" i="54"/>
  <c r="F4" i="53"/>
  <c r="F5" i="53" s="1"/>
  <c r="S11" i="55"/>
  <c r="K11" i="55"/>
  <c r="F5" i="54"/>
  <c r="K5" i="54"/>
  <c r="R9" i="55"/>
  <c r="K5" i="55"/>
  <c r="S13" i="55"/>
  <c r="R15" i="54"/>
  <c r="K3" i="54"/>
  <c r="R13" i="54"/>
  <c r="H3" i="53"/>
  <c r="J13" i="55"/>
  <c r="J13" i="54"/>
  <c r="H4" i="53"/>
  <c r="H5" i="53"/>
  <c r="F6" i="53"/>
  <c r="F7" i="53"/>
  <c r="H6" i="53"/>
  <c r="H7" i="53"/>
  <c r="F8" i="53"/>
  <c r="H8" i="53"/>
  <c r="F9" i="53"/>
  <c r="H9" i="53"/>
  <c r="F10" i="53"/>
  <c r="F11" i="53"/>
  <c r="H10" i="53"/>
  <c r="F12" i="53"/>
  <c r="H11" i="53"/>
  <c r="H12" i="53"/>
  <c r="F13" i="53"/>
  <c r="H13" i="53"/>
  <c r="F14" i="53"/>
  <c r="F15" i="53"/>
  <c r="H14" i="53"/>
  <c r="L3" i="55" l="1"/>
  <c r="N3" i="55" s="1"/>
  <c r="L5" i="54"/>
  <c r="N5" i="54" s="1"/>
  <c r="L3" i="54"/>
  <c r="N3" i="54" s="1"/>
  <c r="J14" i="53"/>
  <c r="J13" i="53"/>
  <c r="J12" i="53"/>
  <c r="J11" i="53"/>
  <c r="J10" i="53"/>
  <c r="J9" i="53"/>
  <c r="J8" i="53"/>
  <c r="J7" i="53"/>
  <c r="J6" i="53"/>
  <c r="J5" i="53"/>
  <c r="J4" i="53"/>
  <c r="J3" i="53"/>
  <c r="H15" i="53"/>
  <c r="F6" i="54"/>
  <c r="F5" i="55"/>
  <c r="L5" i="55" l="1"/>
  <c r="N5" i="55" s="1"/>
  <c r="J15" i="53"/>
  <c r="J16" i="53"/>
  <c r="B8" i="52"/>
  <c r="B7" i="52"/>
  <c r="P7" i="52" s="1"/>
  <c r="B6" i="52"/>
  <c r="P6" i="52" s="1"/>
  <c r="B5" i="52"/>
  <c r="G7" i="52"/>
  <c r="F6" i="52"/>
  <c r="G5" i="52"/>
  <c r="F7" i="52"/>
  <c r="F5" i="52"/>
  <c r="F6" i="55"/>
  <c r="F7" i="55" s="1"/>
  <c r="G6" i="52"/>
  <c r="F7" i="54"/>
  <c r="F8" i="54"/>
  <c r="L7" i="54" l="1"/>
  <c r="N7" i="54" s="1"/>
  <c r="P9" i="54" s="1"/>
  <c r="L7" i="55"/>
  <c r="N7" i="55" s="1"/>
  <c r="P9" i="55" s="1"/>
  <c r="H5" i="52"/>
  <c r="I5" i="52" s="1"/>
  <c r="H6" i="52"/>
  <c r="I6" i="52" s="1"/>
  <c r="H7" i="52"/>
  <c r="I7" i="52" s="1"/>
  <c r="Q6" i="52"/>
  <c r="R6" i="52" s="1"/>
  <c r="S6" i="52" s="1"/>
  <c r="Q7" i="52"/>
  <c r="R7" i="52" s="1"/>
  <c r="S7" i="52" s="1"/>
  <c r="P5" i="52"/>
  <c r="F9" i="54"/>
  <c r="F8" i="55"/>
  <c r="L9" i="54" l="1"/>
  <c r="N9" i="54" s="1"/>
  <c r="P11" i="54" s="1"/>
  <c r="S9" i="54"/>
  <c r="J7" i="52"/>
  <c r="K7" i="52" s="1"/>
  <c r="U7" i="52" s="1"/>
  <c r="J6" i="52"/>
  <c r="K6" i="52" s="1"/>
  <c r="R5" i="52"/>
  <c r="S5" i="52" s="1"/>
  <c r="T5" i="52" s="1"/>
  <c r="T6" i="52" s="1"/>
  <c r="T7" i="52" s="1"/>
  <c r="Q5" i="52"/>
  <c r="J5" i="52"/>
  <c r="K5" i="52" s="1"/>
  <c r="F9" i="55"/>
  <c r="F10" i="54"/>
  <c r="L9" i="55" l="1"/>
  <c r="N9" i="55" s="1"/>
  <c r="P11" i="55" s="1"/>
  <c r="T9" i="55"/>
  <c r="L5" i="52"/>
  <c r="L6" i="52" s="1"/>
  <c r="L7" i="52" s="1"/>
  <c r="U5" i="52"/>
  <c r="U6" i="52"/>
  <c r="F11" i="54"/>
  <c r="F10" i="55"/>
  <c r="L11" i="54" l="1"/>
  <c r="N11" i="54" s="1"/>
  <c r="P13" i="54" s="1"/>
  <c r="S11" i="54"/>
  <c r="U8" i="52"/>
  <c r="F11" i="55"/>
  <c r="F12" i="54"/>
  <c r="L11" i="55" l="1"/>
  <c r="N11" i="55" s="1"/>
  <c r="P13" i="55" s="1"/>
  <c r="T11" i="55"/>
  <c r="B8" i="51"/>
  <c r="B7" i="51"/>
  <c r="P7" i="51" s="1"/>
  <c r="B6" i="51"/>
  <c r="P6" i="51" s="1"/>
  <c r="B5" i="51"/>
  <c r="P5" i="51" s="1"/>
  <c r="B6" i="49"/>
  <c r="B5" i="49"/>
  <c r="B4" i="48"/>
  <c r="C4" i="48"/>
  <c r="D4" i="48"/>
  <c r="E4" i="48"/>
  <c r="F4" i="48"/>
  <c r="G4" i="48"/>
  <c r="B6" i="48"/>
  <c r="C6" i="48"/>
  <c r="D6" i="48"/>
  <c r="E6" i="48"/>
  <c r="F6" i="48"/>
  <c r="G6" i="48"/>
  <c r="B8" i="48"/>
  <c r="C8" i="48"/>
  <c r="D8" i="48"/>
  <c r="E8" i="48"/>
  <c r="F8" i="48"/>
  <c r="G8" i="48"/>
  <c r="B10" i="48"/>
  <c r="C10" i="48"/>
  <c r="D10" i="48"/>
  <c r="E10" i="48"/>
  <c r="F10" i="48"/>
  <c r="G10" i="48"/>
  <c r="D17" i="48"/>
  <c r="D18" i="48"/>
  <c r="D19" i="48"/>
  <c r="D20" i="48"/>
  <c r="D21" i="48"/>
  <c r="D22" i="48"/>
  <c r="D23" i="48"/>
  <c r="D24" i="48"/>
  <c r="H25" i="48"/>
  <c r="C26" i="48" a="1"/>
  <c r="C26" i="48" s="1"/>
  <c r="B4" i="47"/>
  <c r="C4" i="47"/>
  <c r="D4" i="47"/>
  <c r="E4" i="47"/>
  <c r="F4" i="47"/>
  <c r="G4" i="47"/>
  <c r="B6" i="47"/>
  <c r="C6" i="47"/>
  <c r="D6" i="47"/>
  <c r="E6" i="47"/>
  <c r="F6" i="47"/>
  <c r="G6" i="47"/>
  <c r="B8" i="47"/>
  <c r="C8" i="47"/>
  <c r="D8" i="47"/>
  <c r="E8" i="47"/>
  <c r="F8" i="47"/>
  <c r="G8" i="47"/>
  <c r="B10" i="47"/>
  <c r="C10" i="47"/>
  <c r="D10" i="47"/>
  <c r="E10" i="47"/>
  <c r="F10" i="47"/>
  <c r="G10" i="47"/>
  <c r="D17" i="47"/>
  <c r="H17" i="47"/>
  <c r="C18" i="47"/>
  <c r="D18" i="47" s="1"/>
  <c r="H18" i="47"/>
  <c r="D19" i="47"/>
  <c r="C20" i="47"/>
  <c r="D20" i="47" s="1"/>
  <c r="D21" i="47"/>
  <c r="C22" i="47"/>
  <c r="D22" i="47"/>
  <c r="D23" i="47"/>
  <c r="C24" i="47"/>
  <c r="D24" i="47" s="1"/>
  <c r="D3" i="46"/>
  <c r="D4" i="46" s="1"/>
  <c r="H3" i="46" s="1"/>
  <c r="F13" i="54"/>
  <c r="G5" i="51"/>
  <c r="F6" i="51"/>
  <c r="G7" i="51"/>
  <c r="F5" i="51"/>
  <c r="F12" i="55"/>
  <c r="G6" i="51"/>
  <c r="F7" i="51"/>
  <c r="G5" i="49"/>
  <c r="F5" i="49"/>
  <c r="L13" i="54" l="1"/>
  <c r="N13" i="54" s="1"/>
  <c r="P15" i="54" s="1"/>
  <c r="S13" i="54"/>
  <c r="Q7" i="51"/>
  <c r="R7" i="51" s="1"/>
  <c r="S7" i="51" s="1"/>
  <c r="Q6" i="51"/>
  <c r="R6" i="51" s="1"/>
  <c r="S6" i="51" s="1"/>
  <c r="Q5" i="51"/>
  <c r="R5" i="51" s="1"/>
  <c r="S5" i="51" s="1"/>
  <c r="H7" i="51"/>
  <c r="I7" i="51" s="1"/>
  <c r="H6" i="51"/>
  <c r="I6" i="51" s="1"/>
  <c r="H5" i="51"/>
  <c r="I5" i="51" s="1"/>
  <c r="H5" i="49"/>
  <c r="I5" i="49" s="1"/>
  <c r="H2" i="46"/>
  <c r="C26" i="47" a="1"/>
  <c r="E26" i="47" s="1"/>
  <c r="D26" i="48"/>
  <c r="E26" i="48"/>
  <c r="L12" i="46"/>
  <c r="H4" i="46"/>
  <c r="L2" i="46" s="1"/>
  <c r="L3" i="46" s="1"/>
  <c r="D12" i="46"/>
  <c r="C7" i="36"/>
  <c r="F15" i="44"/>
  <c r="C15" i="44"/>
  <c r="F14" i="44"/>
  <c r="C14" i="44"/>
  <c r="F13" i="44"/>
  <c r="C13" i="44"/>
  <c r="F12" i="44"/>
  <c r="C12" i="44"/>
  <c r="F11" i="44"/>
  <c r="C11" i="44"/>
  <c r="F10" i="44"/>
  <c r="C10" i="44"/>
  <c r="F9" i="44"/>
  <c r="C9" i="44"/>
  <c r="F8" i="44"/>
  <c r="C8" i="44"/>
  <c r="F7" i="44"/>
  <c r="C7" i="44"/>
  <c r="F6" i="44"/>
  <c r="C6" i="44"/>
  <c r="F5" i="44"/>
  <c r="C5" i="44"/>
  <c r="F4" i="44"/>
  <c r="C4" i="44"/>
  <c r="C3" i="44"/>
  <c r="F13" i="55"/>
  <c r="S15" i="34"/>
  <c r="S15" i="44"/>
  <c r="J3" i="44"/>
  <c r="K5" i="34"/>
  <c r="R9" i="44"/>
  <c r="K11" i="33"/>
  <c r="J13" i="44"/>
  <c r="K3" i="44"/>
  <c r="W9" i="34"/>
  <c r="R15" i="44"/>
  <c r="K3" i="34"/>
  <c r="F14" i="54"/>
  <c r="S11" i="34"/>
  <c r="W9" i="44"/>
  <c r="V11" i="44"/>
  <c r="W11" i="34"/>
  <c r="W9" i="33"/>
  <c r="K3" i="33"/>
  <c r="K13" i="44"/>
  <c r="K7" i="34"/>
  <c r="K11" i="44"/>
  <c r="W13" i="34"/>
  <c r="S13" i="34"/>
  <c r="S9" i="44"/>
  <c r="V9" i="44"/>
  <c r="S15" i="33"/>
  <c r="S13" i="33"/>
  <c r="V13" i="44"/>
  <c r="S11" i="44"/>
  <c r="K11" i="34"/>
  <c r="K9" i="33"/>
  <c r="J5" i="44"/>
  <c r="S9" i="33"/>
  <c r="W11" i="33"/>
  <c r="K13" i="34"/>
  <c r="K9" i="44"/>
  <c r="K7" i="33"/>
  <c r="Z15" i="44"/>
  <c r="K9" i="34"/>
  <c r="W11" i="44"/>
  <c r="V15" i="44"/>
  <c r="J11" i="44"/>
  <c r="S13" i="44"/>
  <c r="K5" i="44"/>
  <c r="W15" i="33"/>
  <c r="K5" i="33"/>
  <c r="W13" i="44"/>
  <c r="R13" i="44"/>
  <c r="J7" i="44"/>
  <c r="J9" i="44"/>
  <c r="R11" i="44"/>
  <c r="W15" i="44"/>
  <c r="K7" i="44"/>
  <c r="K13" i="33"/>
  <c r="Z9" i="44"/>
  <c r="Z11" i="44"/>
  <c r="W13" i="33"/>
  <c r="S9" i="34"/>
  <c r="W15" i="34"/>
  <c r="Z13" i="44"/>
  <c r="S11" i="33"/>
  <c r="L13" i="55" l="1"/>
  <c r="N13" i="55" s="1"/>
  <c r="P15" i="55" s="1"/>
  <c r="T13" i="55"/>
  <c r="S17" i="54"/>
  <c r="T5" i="51"/>
  <c r="J5" i="51"/>
  <c r="K5" i="51" s="1"/>
  <c r="J6" i="51"/>
  <c r="K6" i="51" s="1"/>
  <c r="J7" i="51"/>
  <c r="K7" i="51" s="1"/>
  <c r="T6" i="51"/>
  <c r="T7" i="51" s="1"/>
  <c r="J5" i="49"/>
  <c r="K5" i="49" s="1"/>
  <c r="D26" i="47"/>
  <c r="C26" i="47"/>
  <c r="E20" i="48"/>
  <c r="G20" i="48" s="1"/>
  <c r="E24" i="48"/>
  <c r="G24" i="48" s="1"/>
  <c r="E22" i="48"/>
  <c r="G22" i="48" s="1"/>
  <c r="E17" i="48"/>
  <c r="G17" i="48" s="1"/>
  <c r="E21" i="48"/>
  <c r="G21" i="48" s="1"/>
  <c r="E19" i="48"/>
  <c r="G19" i="48" s="1"/>
  <c r="E23" i="48"/>
  <c r="G23" i="48" s="1"/>
  <c r="E18" i="48"/>
  <c r="G18" i="48" s="1"/>
  <c r="E17" i="47"/>
  <c r="G17" i="47" s="1"/>
  <c r="E21" i="47"/>
  <c r="G21" i="47" s="1"/>
  <c r="E22" i="47"/>
  <c r="G22" i="47" s="1"/>
  <c r="E24" i="47"/>
  <c r="G24" i="47" s="1"/>
  <c r="E18" i="47"/>
  <c r="G18" i="47" s="1"/>
  <c r="E19" i="47"/>
  <c r="G19" i="47" s="1"/>
  <c r="E20" i="47"/>
  <c r="G20" i="47" s="1"/>
  <c r="E23" i="47"/>
  <c r="G23" i="47" s="1"/>
  <c r="F10" i="46"/>
  <c r="F14" i="46"/>
  <c r="H16" i="46" s="1"/>
  <c r="H17" i="46" s="1"/>
  <c r="D16" i="46"/>
  <c r="F18" i="46" s="1"/>
  <c r="H20" i="46" s="1"/>
  <c r="H21" i="46" s="1"/>
  <c r="L16" i="46"/>
  <c r="N18" i="46" s="1"/>
  <c r="N14" i="46"/>
  <c r="P16" i="46" s="1"/>
  <c r="P17" i="46" s="1"/>
  <c r="N10" i="46"/>
  <c r="L7" i="44"/>
  <c r="N7" i="44" s="1"/>
  <c r="P9" i="44" s="1"/>
  <c r="T9" i="44" s="1"/>
  <c r="L9" i="44"/>
  <c r="N9" i="44" s="1"/>
  <c r="P11" i="44" s="1"/>
  <c r="T11" i="44" s="1"/>
  <c r="X9" i="44"/>
  <c r="AA9" i="44"/>
  <c r="L11" i="44"/>
  <c r="N11" i="44" s="1"/>
  <c r="P13" i="44" s="1"/>
  <c r="T13" i="44" s="1"/>
  <c r="X11" i="44"/>
  <c r="AA11" i="44"/>
  <c r="L13" i="44"/>
  <c r="N13" i="44" s="1"/>
  <c r="P15" i="44" s="1"/>
  <c r="T15" i="44" s="1"/>
  <c r="X13" i="44"/>
  <c r="AA13" i="44"/>
  <c r="X15" i="44"/>
  <c r="AA15" i="44"/>
  <c r="L3" i="44"/>
  <c r="L5" i="44"/>
  <c r="F15" i="43"/>
  <c r="C15" i="43"/>
  <c r="F14" i="43"/>
  <c r="C14" i="43"/>
  <c r="F13" i="43"/>
  <c r="C13" i="43"/>
  <c r="F12" i="43"/>
  <c r="C12" i="43"/>
  <c r="F11" i="43"/>
  <c r="C11" i="43"/>
  <c r="F10" i="43"/>
  <c r="C10" i="43"/>
  <c r="F9" i="43"/>
  <c r="C9" i="43"/>
  <c r="F8" i="43"/>
  <c r="C8" i="43"/>
  <c r="F7" i="43"/>
  <c r="C7" i="43"/>
  <c r="F6" i="43"/>
  <c r="C6" i="43"/>
  <c r="F5" i="43"/>
  <c r="C5" i="43"/>
  <c r="F4" i="43"/>
  <c r="C4" i="43"/>
  <c r="C3" i="43"/>
  <c r="F14" i="55"/>
  <c r="S11" i="43"/>
  <c r="J9" i="43"/>
  <c r="S15" i="43"/>
  <c r="S9" i="43"/>
  <c r="K9" i="43"/>
  <c r="K11" i="43"/>
  <c r="K13" i="43"/>
  <c r="R13" i="43"/>
  <c r="J11" i="43"/>
  <c r="R11" i="43"/>
  <c r="K5" i="43"/>
  <c r="R15" i="43"/>
  <c r="J3" i="43"/>
  <c r="J13" i="43"/>
  <c r="K7" i="43"/>
  <c r="J7" i="43"/>
  <c r="K3" i="43"/>
  <c r="J5" i="43"/>
  <c r="R9" i="43"/>
  <c r="S13" i="43"/>
  <c r="F15" i="54"/>
  <c r="S15" i="54" l="1"/>
  <c r="S2" i="54" s="1"/>
  <c r="L5" i="51"/>
  <c r="L5" i="49"/>
  <c r="F19" i="46"/>
  <c r="N20" i="46"/>
  <c r="P20" i="46"/>
  <c r="P21" i="46" s="1"/>
  <c r="N21" i="46" s="1"/>
  <c r="P12" i="46"/>
  <c r="P13" i="46" s="1"/>
  <c r="N15" i="46" s="1"/>
  <c r="P8" i="46"/>
  <c r="P9" i="46" s="1"/>
  <c r="H12" i="46"/>
  <c r="H13" i="46" s="1"/>
  <c r="F15" i="46" s="1"/>
  <c r="D17" i="46" s="1"/>
  <c r="H8" i="46"/>
  <c r="H9" i="46" s="1"/>
  <c r="AB15" i="44"/>
  <c r="AB13" i="44"/>
  <c r="AB9" i="44"/>
  <c r="T16" i="44"/>
  <c r="T3" i="44" s="1"/>
  <c r="AB11" i="44"/>
  <c r="L3" i="43"/>
  <c r="L5" i="43"/>
  <c r="L7" i="43"/>
  <c r="N7" i="43" s="1"/>
  <c r="P9" i="43" s="1"/>
  <c r="T9" i="43" s="1"/>
  <c r="L9" i="43"/>
  <c r="N9" i="43" s="1"/>
  <c r="P11" i="43" s="1"/>
  <c r="T11" i="43" s="1"/>
  <c r="L11" i="43"/>
  <c r="N11" i="43" s="1"/>
  <c r="P13" i="43" s="1"/>
  <c r="T13" i="43" s="1"/>
  <c r="L13" i="43"/>
  <c r="N13" i="43" s="1"/>
  <c r="P15" i="43" s="1"/>
  <c r="T15" i="43" s="1"/>
  <c r="K5" i="32"/>
  <c r="K9" i="20"/>
  <c r="K13" i="19"/>
  <c r="F4" i="20"/>
  <c r="K7" i="19"/>
  <c r="K3" i="20"/>
  <c r="K9" i="19"/>
  <c r="F15" i="55"/>
  <c r="K13" i="20"/>
  <c r="K7" i="32"/>
  <c r="S9" i="32"/>
  <c r="K3" i="19"/>
  <c r="S11" i="32"/>
  <c r="F4" i="19"/>
  <c r="K5" i="20"/>
  <c r="K11" i="19"/>
  <c r="K11" i="32"/>
  <c r="K9" i="32"/>
  <c r="K7" i="20"/>
  <c r="S11" i="20"/>
  <c r="K3" i="32"/>
  <c r="S15" i="20"/>
  <c r="S13" i="20"/>
  <c r="S15" i="32"/>
  <c r="K11" i="20"/>
  <c r="S13" i="32"/>
  <c r="K13" i="32"/>
  <c r="F4" i="18"/>
  <c r="K5" i="19"/>
  <c r="S9" i="20"/>
  <c r="T15" i="55" l="1"/>
  <c r="T16" i="55" s="1"/>
  <c r="L6" i="51"/>
  <c r="N11" i="46"/>
  <c r="L13" i="46" s="1"/>
  <c r="N19" i="46"/>
  <c r="L17" i="46" s="1"/>
  <c r="J15" i="46" s="1"/>
  <c r="F11" i="46"/>
  <c r="D13" i="46" s="1"/>
  <c r="B15" i="46" s="1"/>
  <c r="AC11" i="44"/>
  <c r="AE11" i="44" s="1"/>
  <c r="AD11" i="44"/>
  <c r="AC9" i="44"/>
  <c r="AE9" i="44" s="1"/>
  <c r="AD9" i="44"/>
  <c r="AC13" i="44"/>
  <c r="AE13" i="44" s="1"/>
  <c r="AD13" i="44"/>
  <c r="AC15" i="44"/>
  <c r="AE15" i="44" s="1"/>
  <c r="AD15" i="44"/>
  <c r="T16" i="43"/>
  <c r="T3" i="43" s="1"/>
  <c r="F5" i="20"/>
  <c r="F5" i="18"/>
  <c r="F5" i="19"/>
  <c r="L7" i="51" l="1"/>
  <c r="AF15" i="44"/>
  <c r="AF13" i="44"/>
  <c r="AF9" i="44"/>
  <c r="AF11" i="44"/>
  <c r="F6" i="20"/>
  <c r="F6" i="19"/>
  <c r="F6" i="18"/>
  <c r="AF17" i="44" l="1"/>
  <c r="AF18" i="44" s="1"/>
  <c r="D17" i="37"/>
  <c r="D6" i="37"/>
  <c r="C15" i="37"/>
  <c r="D23" i="37"/>
  <c r="C12" i="37"/>
  <c r="C19" i="37"/>
  <c r="D11" i="37"/>
  <c r="D21" i="37"/>
  <c r="D16" i="37"/>
  <c r="F7" i="18"/>
  <c r="D12" i="37"/>
  <c r="F7" i="20"/>
  <c r="D13" i="37"/>
  <c r="D20" i="37"/>
  <c r="D8" i="37"/>
  <c r="D7" i="37"/>
  <c r="C11" i="37"/>
  <c r="D18" i="37"/>
  <c r="F7" i="19"/>
  <c r="C21" i="37"/>
  <c r="C8" i="37"/>
  <c r="C22" i="37"/>
  <c r="C5" i="37"/>
  <c r="C23" i="37"/>
  <c r="C14" i="37"/>
  <c r="C13" i="37"/>
  <c r="D22" i="37"/>
  <c r="C6" i="37"/>
  <c r="C9" i="37"/>
  <c r="D15" i="37"/>
  <c r="C17" i="37"/>
  <c r="C18" i="37"/>
  <c r="C10" i="37"/>
  <c r="C7" i="37"/>
  <c r="D4" i="37"/>
  <c r="C16" i="37"/>
  <c r="D14" i="37"/>
  <c r="C24" i="37"/>
  <c r="C11" i="36"/>
  <c r="D9" i="37"/>
  <c r="D19" i="37"/>
  <c r="D5" i="37"/>
  <c r="C4" i="37"/>
  <c r="C20" i="37"/>
  <c r="D24" i="37"/>
  <c r="D10" i="37"/>
  <c r="H12" i="37" l="1"/>
  <c r="F12" i="37"/>
  <c r="E12" i="37"/>
  <c r="I12" i="37"/>
  <c r="I24" i="37"/>
  <c r="H24" i="37"/>
  <c r="F24" i="37"/>
  <c r="E24" i="37"/>
  <c r="H6" i="37"/>
  <c r="F6" i="37"/>
  <c r="E6" i="37"/>
  <c r="I6" i="37"/>
  <c r="H10" i="37"/>
  <c r="F10" i="37"/>
  <c r="I10" i="37"/>
  <c r="E10" i="37"/>
  <c r="H16" i="37"/>
  <c r="F16" i="37"/>
  <c r="E16" i="37"/>
  <c r="I16" i="37"/>
  <c r="E5" i="37"/>
  <c r="F5" i="37"/>
  <c r="I5" i="37"/>
  <c r="H5" i="37"/>
  <c r="E7" i="37"/>
  <c r="I7" i="37"/>
  <c r="F7" i="37"/>
  <c r="H7" i="37"/>
  <c r="E9" i="37"/>
  <c r="F9" i="37"/>
  <c r="I9" i="37"/>
  <c r="H9" i="37"/>
  <c r="E11" i="37"/>
  <c r="F11" i="37"/>
  <c r="I11" i="37"/>
  <c r="H11" i="37"/>
  <c r="E13" i="37"/>
  <c r="I13" i="37"/>
  <c r="F13" i="37"/>
  <c r="H13" i="37"/>
  <c r="E15" i="37"/>
  <c r="F15" i="37"/>
  <c r="I15" i="37"/>
  <c r="H15" i="37"/>
  <c r="E17" i="37"/>
  <c r="I17" i="37"/>
  <c r="F17" i="37"/>
  <c r="H17" i="37"/>
  <c r="E19" i="37"/>
  <c r="I19" i="37"/>
  <c r="F19" i="37"/>
  <c r="H19" i="37"/>
  <c r="E21" i="37"/>
  <c r="I21" i="37"/>
  <c r="F21" i="37"/>
  <c r="H21" i="37"/>
  <c r="E23" i="37"/>
  <c r="F23" i="37"/>
  <c r="I23" i="37"/>
  <c r="H23" i="37"/>
  <c r="H8" i="37"/>
  <c r="F8" i="37"/>
  <c r="E8" i="37"/>
  <c r="I8" i="37"/>
  <c r="H14" i="37"/>
  <c r="F14" i="37"/>
  <c r="E14" i="37"/>
  <c r="I14" i="37"/>
  <c r="H18" i="37"/>
  <c r="F18" i="37"/>
  <c r="E18" i="37"/>
  <c r="I18" i="37"/>
  <c r="H20" i="37"/>
  <c r="F20" i="37"/>
  <c r="E20" i="37"/>
  <c r="I20" i="37"/>
  <c r="H22" i="37"/>
  <c r="F22" i="37"/>
  <c r="I22" i="37"/>
  <c r="E22" i="37"/>
  <c r="E4" i="37"/>
  <c r="F15" i="34"/>
  <c r="C15" i="34"/>
  <c r="F14" i="34"/>
  <c r="C14" i="34"/>
  <c r="F13" i="34"/>
  <c r="C13" i="34"/>
  <c r="F12" i="34"/>
  <c r="C12" i="34"/>
  <c r="F11" i="34"/>
  <c r="C11" i="34"/>
  <c r="F10" i="34"/>
  <c r="C10" i="34"/>
  <c r="F9" i="34"/>
  <c r="C9" i="34"/>
  <c r="F8" i="34"/>
  <c r="C8" i="34"/>
  <c r="F7" i="34"/>
  <c r="C7" i="34"/>
  <c r="F6" i="34"/>
  <c r="C6" i="34"/>
  <c r="F5" i="34"/>
  <c r="C5" i="34"/>
  <c r="F4" i="34"/>
  <c r="C4" i="34"/>
  <c r="C3" i="34"/>
  <c r="F15" i="33"/>
  <c r="C15" i="33"/>
  <c r="F14" i="33"/>
  <c r="C14" i="33"/>
  <c r="F13" i="33"/>
  <c r="C13" i="33"/>
  <c r="F12" i="33"/>
  <c r="C12" i="33"/>
  <c r="F11" i="33"/>
  <c r="C11" i="33"/>
  <c r="F10" i="33"/>
  <c r="C10" i="33"/>
  <c r="F9" i="33"/>
  <c r="C9" i="33"/>
  <c r="F8" i="33"/>
  <c r="C8" i="33"/>
  <c r="F7" i="33"/>
  <c r="C7" i="33"/>
  <c r="F6" i="33"/>
  <c r="C6" i="33"/>
  <c r="F5" i="33"/>
  <c r="C5" i="33"/>
  <c r="F4" i="33"/>
  <c r="C4" i="33"/>
  <c r="C3" i="33"/>
  <c r="F15" i="32"/>
  <c r="C15" i="32"/>
  <c r="F14" i="32"/>
  <c r="C14" i="32"/>
  <c r="F13" i="32"/>
  <c r="C13" i="32"/>
  <c r="F12" i="32"/>
  <c r="C12" i="32"/>
  <c r="F11" i="32"/>
  <c r="C11" i="32"/>
  <c r="F10" i="32"/>
  <c r="C10" i="32"/>
  <c r="F9" i="32"/>
  <c r="C9" i="32"/>
  <c r="F8" i="32"/>
  <c r="C8" i="32"/>
  <c r="F7" i="32"/>
  <c r="C7" i="32"/>
  <c r="F6" i="32"/>
  <c r="C6" i="32"/>
  <c r="F5" i="32"/>
  <c r="C5" i="32"/>
  <c r="F4" i="32"/>
  <c r="C4" i="32"/>
  <c r="C3" i="32"/>
  <c r="J7" i="32"/>
  <c r="R11" i="32"/>
  <c r="R13" i="34"/>
  <c r="V9" i="33"/>
  <c r="R15" i="33"/>
  <c r="V13" i="33"/>
  <c r="Y13" i="33"/>
  <c r="R9" i="34"/>
  <c r="R9" i="32"/>
  <c r="J11" i="33"/>
  <c r="C9" i="36"/>
  <c r="V11" i="34"/>
  <c r="J11" i="32"/>
  <c r="Y11" i="33"/>
  <c r="V15" i="33"/>
  <c r="J13" i="33"/>
  <c r="Y9" i="33"/>
  <c r="Z15" i="34"/>
  <c r="F8" i="20"/>
  <c r="R13" i="32"/>
  <c r="R9" i="33"/>
  <c r="J7" i="33"/>
  <c r="J11" i="34"/>
  <c r="F8" i="18"/>
  <c r="J3" i="32"/>
  <c r="J13" i="32"/>
  <c r="R11" i="34"/>
  <c r="J9" i="32"/>
  <c r="R15" i="32"/>
  <c r="J3" i="33"/>
  <c r="J5" i="34"/>
  <c r="Z11" i="34"/>
  <c r="J9" i="33"/>
  <c r="J3" i="34"/>
  <c r="R13" i="33"/>
  <c r="Z13" i="34"/>
  <c r="F8" i="19"/>
  <c r="J5" i="33"/>
  <c r="J13" i="34"/>
  <c r="J5" i="32"/>
  <c r="Z9" i="34"/>
  <c r="R15" i="34"/>
  <c r="R11" i="33"/>
  <c r="V13" i="34"/>
  <c r="V15" i="34"/>
  <c r="J9" i="34"/>
  <c r="J7" i="34"/>
  <c r="V9" i="34"/>
  <c r="Y15" i="33"/>
  <c r="V11" i="33"/>
  <c r="C10" i="36" l="1"/>
  <c r="C12" i="36" s="1"/>
  <c r="AA9" i="34"/>
  <c r="L11" i="34"/>
  <c r="N11" i="34" s="1"/>
  <c r="P13" i="34" s="1"/>
  <c r="T13" i="34" s="1"/>
  <c r="X11" i="34"/>
  <c r="AA13" i="34"/>
  <c r="X15" i="34"/>
  <c r="L7" i="34"/>
  <c r="N7" i="34" s="1"/>
  <c r="P9" i="34" s="1"/>
  <c r="T9" i="34" s="1"/>
  <c r="L9" i="34"/>
  <c r="N9" i="34" s="1"/>
  <c r="P11" i="34" s="1"/>
  <c r="T11" i="34" s="1"/>
  <c r="X9" i="34"/>
  <c r="AA11" i="34"/>
  <c r="L13" i="34"/>
  <c r="N13" i="34" s="1"/>
  <c r="P15" i="34" s="1"/>
  <c r="T15" i="34" s="1"/>
  <c r="X13" i="34"/>
  <c r="AA15" i="34"/>
  <c r="L3" i="34"/>
  <c r="L5" i="34"/>
  <c r="L5" i="33"/>
  <c r="Z9" i="33"/>
  <c r="L11" i="33"/>
  <c r="N11" i="33" s="1"/>
  <c r="P13" i="33" s="1"/>
  <c r="T13" i="33" s="1"/>
  <c r="X11" i="33"/>
  <c r="Z13" i="33"/>
  <c r="X15" i="33"/>
  <c r="L3" i="33"/>
  <c r="L7" i="33"/>
  <c r="N7" i="33" s="1"/>
  <c r="P9" i="33" s="1"/>
  <c r="T9" i="33" s="1"/>
  <c r="L9" i="33"/>
  <c r="N9" i="33" s="1"/>
  <c r="P11" i="33" s="1"/>
  <c r="T11" i="33" s="1"/>
  <c r="X9" i="33"/>
  <c r="Z11" i="33"/>
  <c r="L13" i="33"/>
  <c r="N13" i="33" s="1"/>
  <c r="P15" i="33" s="1"/>
  <c r="T15" i="33" s="1"/>
  <c r="X13" i="33"/>
  <c r="Z15" i="33"/>
  <c r="L7" i="32"/>
  <c r="N7" i="32" s="1"/>
  <c r="P9" i="32" s="1"/>
  <c r="T9" i="32" s="1"/>
  <c r="L9" i="32"/>
  <c r="N9" i="32" s="1"/>
  <c r="P11" i="32" s="1"/>
  <c r="T11" i="32" s="1"/>
  <c r="L11" i="32"/>
  <c r="N11" i="32" s="1"/>
  <c r="P13" i="32" s="1"/>
  <c r="T13" i="32" s="1"/>
  <c r="L13" i="32"/>
  <c r="N13" i="32" s="1"/>
  <c r="P15" i="32" s="1"/>
  <c r="T15" i="32" s="1"/>
  <c r="L3" i="32"/>
  <c r="L5" i="32"/>
  <c r="F9" i="20"/>
  <c r="F9" i="18"/>
  <c r="F9" i="19"/>
  <c r="C13" i="36" l="1"/>
  <c r="T16" i="32"/>
  <c r="T3" i="32" s="1"/>
  <c r="AB13" i="34"/>
  <c r="T16" i="34"/>
  <c r="T3" i="34" s="1"/>
  <c r="AB9" i="34"/>
  <c r="AB11" i="34"/>
  <c r="AB15" i="34"/>
  <c r="T16" i="33"/>
  <c r="T3" i="33" s="1"/>
  <c r="AA11" i="33"/>
  <c r="AA9" i="33"/>
  <c r="AA15" i="33"/>
  <c r="AA13" i="33"/>
  <c r="F10" i="19"/>
  <c r="F10" i="20"/>
  <c r="F10" i="18"/>
  <c r="AD11" i="34" l="1"/>
  <c r="AC11" i="34"/>
  <c r="AE11" i="34" s="1"/>
  <c r="AC13" i="34"/>
  <c r="AE13" i="34" s="1"/>
  <c r="AD13" i="34"/>
  <c r="AD15" i="34"/>
  <c r="AC15" i="34"/>
  <c r="AE15" i="34" s="1"/>
  <c r="AC9" i="34"/>
  <c r="AE9" i="34" s="1"/>
  <c r="AD9" i="34"/>
  <c r="AC15" i="33"/>
  <c r="AB15" i="33"/>
  <c r="AD15" i="33" s="1"/>
  <c r="AC11" i="33"/>
  <c r="AB11" i="33"/>
  <c r="AD11" i="33" s="1"/>
  <c r="AC13" i="33"/>
  <c r="AB13" i="33"/>
  <c r="AD13" i="33" s="1"/>
  <c r="AC9" i="33"/>
  <c r="AB9" i="33"/>
  <c r="AD9" i="33" s="1"/>
  <c r="F11" i="20"/>
  <c r="F11" i="19"/>
  <c r="F11" i="18"/>
  <c r="AE13" i="33" l="1"/>
  <c r="AE15" i="33"/>
  <c r="AF15" i="34"/>
  <c r="AF11" i="34"/>
  <c r="AF9" i="34"/>
  <c r="AF13" i="34"/>
  <c r="AE9" i="33"/>
  <c r="AE11" i="33"/>
  <c r="F12" i="20"/>
  <c r="F12" i="18"/>
  <c r="F12" i="19"/>
  <c r="AF17" i="34" l="1"/>
  <c r="AE4" i="33"/>
  <c r="F13" i="20"/>
  <c r="F13" i="18"/>
  <c r="F13" i="19"/>
  <c r="C3" i="20" l="1"/>
  <c r="I11" i="23"/>
  <c r="G4" i="22"/>
  <c r="I6" i="23"/>
  <c r="H7" i="22"/>
  <c r="F14" i="19"/>
  <c r="H8" i="23"/>
  <c r="J7" i="22"/>
  <c r="U11" i="23"/>
  <c r="E7" i="23"/>
  <c r="D4" i="22"/>
  <c r="G11" i="22"/>
  <c r="E8" i="23"/>
  <c r="H5" i="22"/>
  <c r="F9" i="23"/>
  <c r="E6" i="23"/>
  <c r="J4" i="23"/>
  <c r="I5" i="22"/>
  <c r="I10" i="22"/>
  <c r="G11" i="23"/>
  <c r="G8" i="22"/>
  <c r="F3" i="23"/>
  <c r="H9" i="23"/>
  <c r="I5" i="23"/>
  <c r="F6" i="22"/>
  <c r="J11" i="22"/>
  <c r="I9" i="23"/>
  <c r="H9" i="22"/>
  <c r="H7" i="23"/>
  <c r="J4" i="22"/>
  <c r="F14" i="18"/>
  <c r="J3" i="22"/>
  <c r="F7" i="23"/>
  <c r="E5" i="22"/>
  <c r="F4" i="23"/>
  <c r="F3" i="22"/>
  <c r="G6" i="23"/>
  <c r="G7" i="22"/>
  <c r="J11" i="23"/>
  <c r="I3" i="22"/>
  <c r="G8" i="23"/>
  <c r="F9" i="22"/>
  <c r="J6" i="23"/>
  <c r="H5" i="23"/>
  <c r="H3" i="22"/>
  <c r="D4" i="23"/>
  <c r="T7" i="22"/>
  <c r="J8" i="22"/>
  <c r="D5" i="23"/>
  <c r="J9" i="22"/>
  <c r="G5" i="23"/>
  <c r="F7" i="22"/>
  <c r="F15" i="18"/>
  <c r="E4" i="22"/>
  <c r="I3" i="23"/>
  <c r="I4" i="22"/>
  <c r="J7" i="23"/>
  <c r="H6" i="22"/>
  <c r="I4" i="23"/>
  <c r="U11" i="22"/>
  <c r="I10" i="23"/>
  <c r="G9" i="22"/>
  <c r="G4" i="23"/>
  <c r="H8" i="22"/>
  <c r="H3" i="23"/>
  <c r="H11" i="23"/>
  <c r="J5" i="23"/>
  <c r="J6" i="22"/>
  <c r="F14" i="20"/>
  <c r="J10" i="23"/>
  <c r="H11" i="22"/>
  <c r="I7" i="23"/>
  <c r="E10" i="22"/>
  <c r="F15" i="20"/>
  <c r="H4" i="22"/>
  <c r="J3" i="23"/>
  <c r="U7" i="22"/>
  <c r="F15" i="19"/>
  <c r="F4" i="22"/>
  <c r="H4" i="23"/>
  <c r="T7" i="23"/>
  <c r="E3" i="22"/>
  <c r="F8" i="23"/>
  <c r="H6" i="23"/>
  <c r="F8" i="22"/>
  <c r="H10" i="22"/>
  <c r="F11" i="23"/>
  <c r="G5" i="22"/>
  <c r="G10" i="22"/>
  <c r="G9" i="23"/>
  <c r="E9" i="22"/>
  <c r="E5" i="23"/>
  <c r="F5" i="22"/>
  <c r="I11" i="22"/>
  <c r="I8" i="23"/>
  <c r="I9" i="22"/>
  <c r="E4" i="23"/>
  <c r="J10" i="22"/>
  <c r="G10" i="23"/>
  <c r="T11" i="22"/>
  <c r="F6" i="23"/>
  <c r="I6" i="22"/>
  <c r="J9" i="23"/>
  <c r="G7" i="23"/>
  <c r="E6" i="22"/>
  <c r="E7" i="22"/>
  <c r="I8" i="22"/>
  <c r="F10" i="23"/>
  <c r="E10" i="23"/>
  <c r="E11" i="22"/>
  <c r="G3" i="23"/>
  <c r="G6" i="22"/>
  <c r="J5" i="22"/>
  <c r="H10" i="23"/>
  <c r="F11" i="22"/>
  <c r="J8" i="23"/>
  <c r="E8" i="22"/>
  <c r="E9" i="23"/>
  <c r="J3" i="20"/>
  <c r="E11" i="23"/>
  <c r="F10" i="22"/>
  <c r="T11" i="23"/>
  <c r="F5" i="23"/>
  <c r="I7" i="22"/>
  <c r="G3" i="22"/>
  <c r="E3" i="23"/>
  <c r="U7" i="23"/>
  <c r="M4" i="22" l="1"/>
  <c r="L4" i="22"/>
  <c r="N4" i="22"/>
  <c r="P4" i="22" s="1"/>
  <c r="M3" i="22"/>
  <c r="L3" i="22"/>
  <c r="N3" i="22"/>
  <c r="M3" i="23"/>
  <c r="N3" i="23"/>
  <c r="N5" i="23"/>
  <c r="L5" i="23"/>
  <c r="M4" i="23"/>
  <c r="M5" i="23"/>
  <c r="L3" i="23"/>
  <c r="N4" i="23"/>
  <c r="L4" i="23"/>
  <c r="L3" i="20"/>
  <c r="N3" i="20" s="1"/>
  <c r="C4" i="20"/>
  <c r="C5" i="20"/>
  <c r="J5" i="20"/>
  <c r="D5" i="22"/>
  <c r="D6" i="23"/>
  <c r="D6" i="22"/>
  <c r="D7" i="23"/>
  <c r="D8" i="23"/>
  <c r="L8" i="23" l="1"/>
  <c r="M8" i="23"/>
  <c r="N8" i="23"/>
  <c r="L7" i="23"/>
  <c r="M7" i="23"/>
  <c r="N7" i="23"/>
  <c r="P7" i="23" s="1"/>
  <c r="R11" i="23" s="1"/>
  <c r="L6" i="22"/>
  <c r="P6" i="22" s="1"/>
  <c r="M6" i="22"/>
  <c r="N6" i="22"/>
  <c r="L6" i="23"/>
  <c r="N6" i="23"/>
  <c r="P6" i="23" s="1"/>
  <c r="M6" i="23"/>
  <c r="N5" i="22"/>
  <c r="L5" i="22"/>
  <c r="P5" i="22" s="1"/>
  <c r="M5" i="22"/>
  <c r="P4" i="23"/>
  <c r="P3" i="22"/>
  <c r="R7" i="22" s="1"/>
  <c r="P3" i="23"/>
  <c r="R7" i="23" s="1"/>
  <c r="V7" i="23" s="1"/>
  <c r="P5" i="23"/>
  <c r="P8" i="23"/>
  <c r="C6" i="20"/>
  <c r="C7" i="20"/>
  <c r="J7" i="20"/>
  <c r="D9" i="23"/>
  <c r="D7" i="22"/>
  <c r="D8" i="22"/>
  <c r="M8" i="22" l="1"/>
  <c r="N8" i="22"/>
  <c r="L8" i="22"/>
  <c r="L7" i="22"/>
  <c r="M7" i="22"/>
  <c r="N7" i="22"/>
  <c r="P7" i="22" s="1"/>
  <c r="R11" i="22" s="1"/>
  <c r="M9" i="23"/>
  <c r="L9" i="23"/>
  <c r="N9" i="23"/>
  <c r="V7" i="22"/>
  <c r="L5" i="20"/>
  <c r="N5" i="20" s="1"/>
  <c r="C8" i="20"/>
  <c r="C9" i="20"/>
  <c r="D9" i="22"/>
  <c r="J9" i="20"/>
  <c r="D10" i="23"/>
  <c r="N10" i="23" l="1"/>
  <c r="M10" i="23"/>
  <c r="L10" i="23"/>
  <c r="N9" i="22"/>
  <c r="L9" i="22"/>
  <c r="M9" i="22"/>
  <c r="P8" i="22"/>
  <c r="P9" i="23"/>
  <c r="C10" i="20"/>
  <c r="C11" i="20"/>
  <c r="C12" i="20"/>
  <c r="C13" i="20"/>
  <c r="C14" i="20"/>
  <c r="C15" i="20"/>
  <c r="C3" i="19"/>
  <c r="C4" i="19"/>
  <c r="C5" i="19"/>
  <c r="C6" i="19"/>
  <c r="C7" i="19"/>
  <c r="C8" i="19"/>
  <c r="C9" i="19"/>
  <c r="C10" i="19"/>
  <c r="C11" i="19"/>
  <c r="D11" i="23"/>
  <c r="J13" i="20"/>
  <c r="J7" i="19"/>
  <c r="R13" i="20"/>
  <c r="J5" i="19"/>
  <c r="Q9" i="19"/>
  <c r="R9" i="19"/>
  <c r="J11" i="19"/>
  <c r="J9" i="19"/>
  <c r="R9" i="20"/>
  <c r="R15" i="20"/>
  <c r="R11" i="20"/>
  <c r="J3" i="19"/>
  <c r="D10" i="22"/>
  <c r="J11" i="20"/>
  <c r="D12" i="23"/>
  <c r="D11" i="22"/>
  <c r="D12" i="22"/>
  <c r="D13" i="22" s="1"/>
  <c r="N11" i="22" l="1"/>
  <c r="L11" i="22"/>
  <c r="M11" i="22"/>
  <c r="V11" i="22"/>
  <c r="V12" i="22" s="1"/>
  <c r="N10" i="22"/>
  <c r="M10" i="22"/>
  <c r="L10" i="22"/>
  <c r="M11" i="23"/>
  <c r="N11" i="23"/>
  <c r="L11" i="23"/>
  <c r="V11" i="23"/>
  <c r="V12" i="23" s="1"/>
  <c r="P9" i="22"/>
  <c r="P10" i="23"/>
  <c r="L7" i="20"/>
  <c r="N7" i="20" s="1"/>
  <c r="P9" i="20" s="1"/>
  <c r="L3" i="19"/>
  <c r="N3" i="19" s="1"/>
  <c r="C12" i="19"/>
  <c r="C13" i="19"/>
  <c r="D14" i="22"/>
  <c r="D15" i="22" s="1"/>
  <c r="D16" i="22" s="1"/>
  <c r="D17" i="22"/>
  <c r="J13" i="19"/>
  <c r="D13" i="23"/>
  <c r="Q11" i="19"/>
  <c r="R11" i="19"/>
  <c r="P11" i="23" l="1"/>
  <c r="P10" i="22"/>
  <c r="P11" i="22"/>
  <c r="L5" i="19"/>
  <c r="N5" i="19" s="1"/>
  <c r="C14" i="19"/>
  <c r="C15" i="19"/>
  <c r="D14" i="23"/>
  <c r="R15" i="19"/>
  <c r="Q13" i="19"/>
  <c r="Q15" i="19"/>
  <c r="D18" i="22"/>
  <c r="R13" i="19"/>
  <c r="T9" i="20" l="1"/>
  <c r="L9" i="20"/>
  <c r="N9" i="20" s="1"/>
  <c r="P11" i="20" s="1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D15" i="23"/>
  <c r="D16" i="23" s="1"/>
  <c r="D17" i="23" s="1"/>
  <c r="D18" i="23" s="1"/>
  <c r="D19" i="23" s="1"/>
  <c r="D20" i="23" s="1"/>
  <c r="D21" i="23" s="1"/>
  <c r="H3" i="18"/>
  <c r="D22" i="23"/>
  <c r="D19" i="22"/>
  <c r="L11" i="20" l="1"/>
  <c r="N11" i="20" s="1"/>
  <c r="P13" i="20" s="1"/>
  <c r="L7" i="19"/>
  <c r="N7" i="19" s="1"/>
  <c r="P9" i="19" s="1"/>
  <c r="T11" i="20"/>
  <c r="J3" i="18"/>
  <c r="B25" i="17"/>
  <c r="A6" i="17"/>
  <c r="A7" i="17" s="1"/>
  <c r="B5" i="17"/>
  <c r="H2" i="17"/>
  <c r="F2" i="17"/>
  <c r="B25" i="16"/>
  <c r="A6" i="16"/>
  <c r="B6" i="16" s="1"/>
  <c r="B5" i="16"/>
  <c r="H2" i="16"/>
  <c r="F2" i="16"/>
  <c r="A6" i="13"/>
  <c r="B6" i="13" s="1"/>
  <c r="B5" i="13"/>
  <c r="H2" i="13"/>
  <c r="F2" i="13"/>
  <c r="A6" i="11"/>
  <c r="A7" i="11" s="1"/>
  <c r="B5" i="11"/>
  <c r="G2" i="11"/>
  <c r="G1" i="11"/>
  <c r="H4" i="18"/>
  <c r="D23" i="23"/>
  <c r="D20" i="22"/>
  <c r="L13" i="20" l="1"/>
  <c r="N13" i="20" s="1"/>
  <c r="P15" i="20" s="1"/>
  <c r="T13" i="20"/>
  <c r="C25" i="17"/>
  <c r="D25" i="17" s="1"/>
  <c r="B6" i="17"/>
  <c r="C6" i="17" s="1"/>
  <c r="D6" i="17" s="1"/>
  <c r="J4" i="18"/>
  <c r="A8" i="17"/>
  <c r="B7" i="17"/>
  <c r="C7" i="17" s="1"/>
  <c r="D7" i="17" s="1"/>
  <c r="C5" i="17"/>
  <c r="D5" i="17" s="1"/>
  <c r="C25" i="16"/>
  <c r="D25" i="16" s="1"/>
  <c r="C5" i="16"/>
  <c r="D5" i="16" s="1"/>
  <c r="C6" i="16"/>
  <c r="D6" i="16" s="1"/>
  <c r="A7" i="16"/>
  <c r="B6" i="11"/>
  <c r="C6" i="11" s="1"/>
  <c r="D6" i="11" s="1"/>
  <c r="C5" i="13"/>
  <c r="D5" i="13" s="1"/>
  <c r="C6" i="13"/>
  <c r="D6" i="13" s="1"/>
  <c r="A7" i="13"/>
  <c r="A8" i="11"/>
  <c r="B7" i="11"/>
  <c r="C7" i="11" s="1"/>
  <c r="D7" i="11" s="1"/>
  <c r="C5" i="11"/>
  <c r="D5" i="11" s="1"/>
  <c r="H8" i="18"/>
  <c r="H7" i="18"/>
  <c r="H10" i="18"/>
  <c r="H9" i="18"/>
  <c r="D21" i="22"/>
  <c r="H5" i="18"/>
  <c r="J9" i="18" l="1"/>
  <c r="J8" i="18"/>
  <c r="J7" i="18"/>
  <c r="S9" i="19"/>
  <c r="L9" i="19"/>
  <c r="N9" i="19" s="1"/>
  <c r="P11" i="19" s="1"/>
  <c r="J5" i="18"/>
  <c r="J10" i="18"/>
  <c r="A9" i="17"/>
  <c r="B8" i="17"/>
  <c r="C8" i="17" s="1"/>
  <c r="D8" i="17" s="1"/>
  <c r="B7" i="16"/>
  <c r="C7" i="16" s="1"/>
  <c r="D7" i="16" s="1"/>
  <c r="A8" i="16"/>
  <c r="B7" i="13"/>
  <c r="A8" i="13"/>
  <c r="C7" i="13"/>
  <c r="D7" i="13" s="1"/>
  <c r="A9" i="11"/>
  <c r="B8" i="11"/>
  <c r="C8" i="11" s="1"/>
  <c r="D8" i="11" s="1"/>
  <c r="D22" i="22"/>
  <c r="H11" i="18"/>
  <c r="D23" i="22"/>
  <c r="H6" i="18"/>
  <c r="T15" i="20" l="1"/>
  <c r="T16" i="20" s="1"/>
  <c r="J11" i="18"/>
  <c r="J6" i="18"/>
  <c r="L11" i="19"/>
  <c r="N11" i="19" s="1"/>
  <c r="P13" i="19" s="1"/>
  <c r="S11" i="19"/>
  <c r="A10" i="17"/>
  <c r="B9" i="17"/>
  <c r="C9" i="17" s="1"/>
  <c r="D9" i="17" s="1"/>
  <c r="B8" i="16"/>
  <c r="C8" i="16" s="1"/>
  <c r="D8" i="16" s="1"/>
  <c r="A9" i="16"/>
  <c r="B8" i="13"/>
  <c r="C8" i="13" s="1"/>
  <c r="D8" i="13" s="1"/>
  <c r="A9" i="13"/>
  <c r="A10" i="11"/>
  <c r="B9" i="11"/>
  <c r="C9" i="11" s="1"/>
  <c r="D9" i="11" s="1"/>
  <c r="H12" i="18"/>
  <c r="H13" i="18"/>
  <c r="J12" i="18" l="1"/>
  <c r="J13" i="18"/>
  <c r="A11" i="17"/>
  <c r="B10" i="17"/>
  <c r="C10" i="17" s="1"/>
  <c r="D10" i="17" s="1"/>
  <c r="B9" i="16"/>
  <c r="C9" i="16" s="1"/>
  <c r="D9" i="16" s="1"/>
  <c r="A10" i="16"/>
  <c r="B9" i="13"/>
  <c r="C9" i="13" s="1"/>
  <c r="D9" i="13" s="1"/>
  <c r="A10" i="13"/>
  <c r="A11" i="11"/>
  <c r="B10" i="11"/>
  <c r="C10" i="11" s="1"/>
  <c r="D10" i="11" s="1"/>
  <c r="H14" i="18"/>
  <c r="J14" i="18" l="1"/>
  <c r="L13" i="19"/>
  <c r="N13" i="19" s="1"/>
  <c r="P15" i="19" s="1"/>
  <c r="S13" i="19"/>
  <c r="A12" i="17"/>
  <c r="B11" i="17"/>
  <c r="C11" i="17" s="1"/>
  <c r="D11" i="17" s="1"/>
  <c r="B10" i="16"/>
  <c r="C10" i="16" s="1"/>
  <c r="D10" i="16" s="1"/>
  <c r="A11" i="16"/>
  <c r="B10" i="13"/>
  <c r="C10" i="13" s="1"/>
  <c r="D10" i="13" s="1"/>
  <c r="A11" i="13"/>
  <c r="A12" i="11"/>
  <c r="B11" i="11"/>
  <c r="C11" i="11" s="1"/>
  <c r="D11" i="11" s="1"/>
  <c r="H15" i="18"/>
  <c r="J15" i="18" l="1"/>
  <c r="J16" i="18" s="1"/>
  <c r="S17" i="19"/>
  <c r="A13" i="17"/>
  <c r="B12" i="17"/>
  <c r="C12" i="17" s="1"/>
  <c r="D12" i="17" s="1"/>
  <c r="B11" i="16"/>
  <c r="C11" i="16" s="1"/>
  <c r="D11" i="16" s="1"/>
  <c r="A12" i="16"/>
  <c r="B11" i="13"/>
  <c r="C11" i="13" s="1"/>
  <c r="D11" i="13" s="1"/>
  <c r="A12" i="13"/>
  <c r="A13" i="11"/>
  <c r="B12" i="11"/>
  <c r="C12" i="11" s="1"/>
  <c r="D12" i="11" s="1"/>
  <c r="S15" i="19" l="1"/>
  <c r="S2" i="19" s="1"/>
  <c r="A14" i="17"/>
  <c r="B13" i="17"/>
  <c r="C13" i="17" s="1"/>
  <c r="D13" i="17" s="1"/>
  <c r="B12" i="16"/>
  <c r="C12" i="16" s="1"/>
  <c r="D12" i="16" s="1"/>
  <c r="A13" i="16"/>
  <c r="B12" i="13"/>
  <c r="C12" i="13" s="1"/>
  <c r="D12" i="13" s="1"/>
  <c r="A13" i="13"/>
  <c r="A14" i="11"/>
  <c r="B13" i="11"/>
  <c r="C13" i="11" s="1"/>
  <c r="D13" i="11" s="1"/>
  <c r="A15" i="17" l="1"/>
  <c r="B14" i="17"/>
  <c r="C14" i="17" s="1"/>
  <c r="D14" i="17" s="1"/>
  <c r="B13" i="16"/>
  <c r="A14" i="16"/>
  <c r="C13" i="16"/>
  <c r="D13" i="16" s="1"/>
  <c r="B13" i="13"/>
  <c r="C13" i="13" s="1"/>
  <c r="D13" i="13" s="1"/>
  <c r="A14" i="13"/>
  <c r="A15" i="11"/>
  <c r="B14" i="11"/>
  <c r="C14" i="11" s="1"/>
  <c r="D14" i="11" s="1"/>
  <c r="A16" i="17" l="1"/>
  <c r="B15" i="17"/>
  <c r="C15" i="17" s="1"/>
  <c r="D15" i="17" s="1"/>
  <c r="B14" i="16"/>
  <c r="A15" i="16"/>
  <c r="C14" i="16"/>
  <c r="D14" i="16" s="1"/>
  <c r="B14" i="13"/>
  <c r="C14" i="13" s="1"/>
  <c r="D14" i="13" s="1"/>
  <c r="A15" i="13"/>
  <c r="A16" i="11"/>
  <c r="B15" i="11"/>
  <c r="C15" i="11" s="1"/>
  <c r="D15" i="11" s="1"/>
  <c r="A17" i="17" l="1"/>
  <c r="B16" i="17"/>
  <c r="C16" i="17" s="1"/>
  <c r="D16" i="17" s="1"/>
  <c r="B15" i="16"/>
  <c r="A16" i="16"/>
  <c r="C15" i="16"/>
  <c r="D15" i="16" s="1"/>
  <c r="B15" i="13"/>
  <c r="C15" i="13" s="1"/>
  <c r="D15" i="13" s="1"/>
  <c r="A16" i="13"/>
  <c r="A17" i="11"/>
  <c r="B16" i="11"/>
  <c r="C16" i="11" s="1"/>
  <c r="D16" i="11" s="1"/>
  <c r="A18" i="17" l="1"/>
  <c r="B17" i="17"/>
  <c r="C17" i="17" s="1"/>
  <c r="D17" i="17" s="1"/>
  <c r="B16" i="16"/>
  <c r="C16" i="16" s="1"/>
  <c r="D16" i="16" s="1"/>
  <c r="A17" i="16"/>
  <c r="B16" i="13"/>
  <c r="A17" i="13"/>
  <c r="C16" i="13"/>
  <c r="D16" i="13" s="1"/>
  <c r="A18" i="11"/>
  <c r="B17" i="11"/>
  <c r="C17" i="11" s="1"/>
  <c r="D17" i="11" s="1"/>
  <c r="A19" i="17" l="1"/>
  <c r="B18" i="17"/>
  <c r="C18" i="17" s="1"/>
  <c r="D18" i="17" s="1"/>
  <c r="B17" i="16"/>
  <c r="C17" i="16" s="1"/>
  <c r="D17" i="16" s="1"/>
  <c r="A18" i="16"/>
  <c r="B17" i="13"/>
  <c r="A18" i="13"/>
  <c r="C17" i="13"/>
  <c r="D17" i="13" s="1"/>
  <c r="A19" i="11"/>
  <c r="B18" i="11"/>
  <c r="C18" i="11" s="1"/>
  <c r="D18" i="11" s="1"/>
  <c r="A20" i="17" l="1"/>
  <c r="B19" i="17"/>
  <c r="C19" i="17" s="1"/>
  <c r="D19" i="17" s="1"/>
  <c r="B18" i="16"/>
  <c r="A19" i="16"/>
  <c r="C18" i="16"/>
  <c r="D18" i="16" s="1"/>
  <c r="B18" i="13"/>
  <c r="A19" i="13"/>
  <c r="C18" i="13"/>
  <c r="D18" i="13" s="1"/>
  <c r="A20" i="11"/>
  <c r="B19" i="11"/>
  <c r="C19" i="11" s="1"/>
  <c r="D19" i="11" s="1"/>
  <c r="A21" i="17" l="1"/>
  <c r="B20" i="17"/>
  <c r="C20" i="17" s="1"/>
  <c r="D20" i="17" s="1"/>
  <c r="B19" i="16"/>
  <c r="C19" i="16" s="1"/>
  <c r="D19" i="16" s="1"/>
  <c r="A20" i="16"/>
  <c r="B19" i="13"/>
  <c r="A20" i="13"/>
  <c r="C19" i="13"/>
  <c r="D19" i="13" s="1"/>
  <c r="A21" i="11"/>
  <c r="B20" i="11"/>
  <c r="C20" i="11" s="1"/>
  <c r="D20" i="11" s="1"/>
  <c r="A22" i="17" l="1"/>
  <c r="B21" i="17"/>
  <c r="C21" i="17" s="1"/>
  <c r="D21" i="17" s="1"/>
  <c r="B20" i="16"/>
  <c r="C20" i="16" s="1"/>
  <c r="D20" i="16" s="1"/>
  <c r="A21" i="16"/>
  <c r="B20" i="13"/>
  <c r="A21" i="13"/>
  <c r="C20" i="13"/>
  <c r="D20" i="13" s="1"/>
  <c r="A22" i="11"/>
  <c r="B21" i="11"/>
  <c r="C21" i="11" s="1"/>
  <c r="D21" i="11" s="1"/>
  <c r="A23" i="17" l="1"/>
  <c r="B22" i="17"/>
  <c r="C22" i="17" s="1"/>
  <c r="D22" i="17" s="1"/>
  <c r="B21" i="16"/>
  <c r="C21" i="16" s="1"/>
  <c r="D21" i="16" s="1"/>
  <c r="A22" i="16"/>
  <c r="B21" i="13"/>
  <c r="A22" i="13"/>
  <c r="C21" i="13"/>
  <c r="D21" i="13" s="1"/>
  <c r="A23" i="11"/>
  <c r="B22" i="11"/>
  <c r="C22" i="11" s="1"/>
  <c r="D22" i="11" s="1"/>
  <c r="A24" i="17" l="1"/>
  <c r="B23" i="17"/>
  <c r="C23" i="17" s="1"/>
  <c r="D23" i="17" s="1"/>
  <c r="B22" i="16"/>
  <c r="A23" i="16"/>
  <c r="C22" i="16"/>
  <c r="D22" i="16" s="1"/>
  <c r="B22" i="13"/>
  <c r="C22" i="13" s="1"/>
  <c r="D22" i="13" s="1"/>
  <c r="A23" i="13"/>
  <c r="A24" i="11"/>
  <c r="B23" i="11"/>
  <c r="C23" i="11" s="1"/>
  <c r="D23" i="11" s="1"/>
  <c r="B24" i="17" l="1"/>
  <c r="C24" i="17" s="1"/>
  <c r="D24" i="17" s="1"/>
  <c r="B23" i="16"/>
  <c r="C23" i="16" s="1"/>
  <c r="D23" i="16" s="1"/>
  <c r="A24" i="16"/>
  <c r="B23" i="13"/>
  <c r="A24" i="13"/>
  <c r="C23" i="13"/>
  <c r="D23" i="13" s="1"/>
  <c r="B24" i="11"/>
  <c r="C24" i="11" s="1"/>
  <c r="D24" i="11" s="1"/>
  <c r="B24" i="16" l="1"/>
  <c r="C24" i="16" s="1"/>
  <c r="D24" i="16" s="1"/>
  <c r="B24" i="13"/>
  <c r="C24" i="13" s="1"/>
  <c r="D24" i="13" s="1"/>
  <c r="B25" i="11"/>
  <c r="C25" i="11" s="1"/>
  <c r="D25" i="11" s="1"/>
  <c r="B25" i="13" l="1"/>
  <c r="C25" i="13" s="1"/>
  <c r="D25" i="13" s="1"/>
</calcChain>
</file>

<file path=xl/sharedStrings.xml><?xml version="1.0" encoding="utf-8"?>
<sst xmlns="http://schemas.openxmlformats.org/spreadsheetml/2006/main" count="936" uniqueCount="426">
  <si>
    <t>σ</t>
  </si>
  <si>
    <t>σ^2</t>
    <phoneticPr fontId="3"/>
  </si>
  <si>
    <t>T</t>
    <phoneticPr fontId="3"/>
  </si>
  <si>
    <r>
      <t>r</t>
    </r>
    <r>
      <rPr>
        <vertAlign val="subscript"/>
        <sz val="10"/>
        <color theme="1"/>
        <rFont val="Arial Unicode MS"/>
        <family val="3"/>
        <charset val="128"/>
      </rPr>
      <t>0</t>
    </r>
    <phoneticPr fontId="3"/>
  </si>
  <si>
    <t>a</t>
    <phoneticPr fontId="3"/>
  </si>
  <si>
    <t>θ</t>
    <phoneticPr fontId="3"/>
  </si>
  <si>
    <t>a^2</t>
    <phoneticPr fontId="3"/>
  </si>
  <si>
    <t>= -C5/A5 + B1*B5/A5</t>
    <phoneticPr fontId="3"/>
  </si>
  <si>
    <t>= -C6/A6 + B1*B6/A6</t>
    <phoneticPr fontId="3"/>
  </si>
  <si>
    <t>(以下同じ)</t>
    <rPh sb="1" eb="3">
      <t>イカ</t>
    </rPh>
    <rPh sb="3" eb="4">
      <t>オナ</t>
    </rPh>
    <phoneticPr fontId="3"/>
  </si>
  <si>
    <t>D列 計算式</t>
    <rPh sb="1" eb="2">
      <t>レツ</t>
    </rPh>
    <rPh sb="3" eb="5">
      <t>ケイサン</t>
    </rPh>
    <rPh sb="5" eb="6">
      <t>シキ</t>
    </rPh>
    <phoneticPr fontId="3"/>
  </si>
  <si>
    <t>= -C7/A7 + B1*B7/A7</t>
    <phoneticPr fontId="3"/>
  </si>
  <si>
    <t>'=NORMSINV(RAND())</t>
  </si>
  <si>
    <t>（以下同じ）</t>
    <rPh sb="1" eb="3">
      <t>イカ</t>
    </rPh>
    <rPh sb="3" eb="4">
      <t>オナ</t>
    </rPh>
    <phoneticPr fontId="7"/>
  </si>
  <si>
    <t>=x_(F4,E4,A5,A15)</t>
    <phoneticPr fontId="7"/>
  </si>
  <si>
    <t>=r_(C4,F4,A4)</t>
    <phoneticPr fontId="7"/>
  </si>
  <si>
    <t>=x_(F3,E3,A4,A15)</t>
    <phoneticPr fontId="7"/>
  </si>
  <si>
    <t>=(-1/0.25)*LN(B5/B4)</t>
    <phoneticPr fontId="7"/>
  </si>
  <si>
    <t>=r_(C3,F3,A3)</t>
    <phoneticPr fontId="7"/>
  </si>
  <si>
    <t>=(-1/0.25)*LN(B4/B3)</t>
    <phoneticPr fontId="7"/>
  </si>
  <si>
    <t>（H列の数式）</t>
    <rPh sb="2" eb="3">
      <t>レツ</t>
    </rPh>
    <rPh sb="4" eb="6">
      <t>スウシキ</t>
    </rPh>
    <phoneticPr fontId="7"/>
  </si>
  <si>
    <t>r t</t>
    <phoneticPr fontId="7"/>
  </si>
  <si>
    <t>（ F列の数式等 ）</t>
    <rPh sb="3" eb="4">
      <t>レツ</t>
    </rPh>
    <rPh sb="5" eb="7">
      <t>スウシキ</t>
    </rPh>
    <rPh sb="7" eb="8">
      <t>ナド</t>
    </rPh>
    <phoneticPr fontId="7"/>
  </si>
  <si>
    <t>x t</t>
    <phoneticPr fontId="7"/>
  </si>
  <si>
    <t>正規乱数</t>
    <rPh sb="0" eb="2">
      <t>セイキ</t>
    </rPh>
    <rPh sb="2" eb="4">
      <t>ランスウ</t>
    </rPh>
    <phoneticPr fontId="7"/>
  </si>
  <si>
    <t>（ C列の数式等 ）</t>
    <rPh sb="3" eb="4">
      <t>レツ</t>
    </rPh>
    <rPh sb="5" eb="7">
      <t>スウシキ</t>
    </rPh>
    <rPh sb="7" eb="8">
      <t>ナド</t>
    </rPh>
    <phoneticPr fontId="7"/>
  </si>
  <si>
    <t>f(0,t,T)</t>
    <phoneticPr fontId="7"/>
  </si>
  <si>
    <t>Mar12'12</t>
    <phoneticPr fontId="7"/>
  </si>
  <si>
    <t>t</t>
    <phoneticPr fontId="7"/>
  </si>
  <si>
    <t>イールドカーブ</t>
    <phoneticPr fontId="7"/>
  </si>
  <si>
    <t>=A_(A5,A7)</t>
    <phoneticPr fontId="7"/>
  </si>
  <si>
    <t>=B_(A5,A7)</t>
    <phoneticPr fontId="7"/>
  </si>
  <si>
    <t>=(1/L5-1)*360/182.5</t>
    <phoneticPr fontId="7"/>
  </si>
  <si>
    <t>=B7/B5*K5*EXP(-J5*F5)</t>
    <phoneticPr fontId="7"/>
  </si>
  <si>
    <t>=A_(A3,A5)</t>
    <phoneticPr fontId="7"/>
  </si>
  <si>
    <t>=B_(A3,A5)</t>
    <phoneticPr fontId="7"/>
  </si>
  <si>
    <t>=(1/L3-1)*360/182.5</t>
    <phoneticPr fontId="7"/>
  </si>
  <si>
    <t>=B5/B3*K3*EXP(-J3*F3)</t>
    <phoneticPr fontId="7"/>
  </si>
  <si>
    <t>A(t, 3)</t>
  </si>
  <si>
    <t>B(t, 3)</t>
    <phoneticPr fontId="7"/>
  </si>
  <si>
    <t>Cashflow</t>
    <phoneticPr fontId="7"/>
  </si>
  <si>
    <t>（ N列の 数式 ）</t>
    <rPh sb="3" eb="4">
      <t>レツ</t>
    </rPh>
    <rPh sb="6" eb="8">
      <t>スウシキ</t>
    </rPh>
    <phoneticPr fontId="7"/>
  </si>
  <si>
    <t>6m Libor</t>
    <phoneticPr fontId="7"/>
  </si>
  <si>
    <t>（ L列の 数式 ）</t>
    <rPh sb="3" eb="4">
      <t>レツ</t>
    </rPh>
    <rPh sb="6" eb="8">
      <t>スウシキ</t>
    </rPh>
    <phoneticPr fontId="7"/>
  </si>
  <si>
    <t>P(t, +0.5)</t>
    <phoneticPr fontId="7"/>
  </si>
  <si>
    <t>(上ｾﾙ数式)</t>
    <rPh sb="1" eb="2">
      <t>ウエ</t>
    </rPh>
    <rPh sb="4" eb="6">
      <t>スウシキ</t>
    </rPh>
    <phoneticPr fontId="7"/>
  </si>
  <si>
    <t>PrstValue</t>
    <phoneticPr fontId="7"/>
  </si>
  <si>
    <t>A(t, +0.5)</t>
    <phoneticPr fontId="7"/>
  </si>
  <si>
    <t>B(t, +0.5)</t>
    <phoneticPr fontId="7"/>
  </si>
  <si>
    <t>=SUM(T9:T15)</t>
    <phoneticPr fontId="7"/>
  </si>
  <si>
    <t>現在価値 合計</t>
    <rPh sb="0" eb="2">
      <t>ゲンザイ</t>
    </rPh>
    <rPh sb="2" eb="4">
      <t>カチ</t>
    </rPh>
    <rPh sb="5" eb="7">
      <t>ゴウケイ</t>
    </rPh>
    <phoneticPr fontId="7"/>
  </si>
  <si>
    <t>=P11*B11/S11*EXP(R11*F11)</t>
    <phoneticPr fontId="7"/>
  </si>
  <si>
    <t>=N9*182.5/360-0.5*P1</t>
    <phoneticPr fontId="7"/>
  </si>
  <si>
    <t>=A_(A9,A15)</t>
    <phoneticPr fontId="7"/>
  </si>
  <si>
    <t>=B_(A9,A15)</t>
    <phoneticPr fontId="7"/>
  </si>
  <si>
    <t>=P9*B9/S9*EXP(R9*F9)</t>
    <phoneticPr fontId="7"/>
  </si>
  <si>
    <t>=N7*182.5/360-0.5*P1</t>
    <phoneticPr fontId="7"/>
  </si>
  <si>
    <t>（ T列の 数式 ）</t>
    <rPh sb="3" eb="4">
      <t>レツ</t>
    </rPh>
    <rPh sb="6" eb="8">
      <t>スウシキ</t>
    </rPh>
    <phoneticPr fontId="7"/>
  </si>
  <si>
    <t>現在価値</t>
    <rPh sb="0" eb="2">
      <t>ゲンザイ</t>
    </rPh>
    <rPh sb="2" eb="4">
      <t>カチ</t>
    </rPh>
    <phoneticPr fontId="7"/>
  </si>
  <si>
    <t>（ P列の 数式 ）</t>
    <rPh sb="3" eb="4">
      <t>レツ</t>
    </rPh>
    <rPh sb="6" eb="8">
      <t>スウシキ</t>
    </rPh>
    <phoneticPr fontId="7"/>
  </si>
  <si>
    <t>P列</t>
    <rPh sb="1" eb="2">
      <t>レツ</t>
    </rPh>
    <phoneticPr fontId="7"/>
  </si>
  <si>
    <t xml:space="preserve">        mean(rowSums(prstVAL))*100)     # ﾌﾟﾚﾐｱﾑ。合計値の平均を計算</t>
  </si>
  <si>
    <t>sprintf("Swap Premium = %f%%",              # prstVALの行の合計が1ｼﾅﾘｵの</t>
  </si>
  <si>
    <t># ６．プレミアムの平均値計算</t>
  </si>
  <si>
    <t>} # end ｼﾅﾘｵ</t>
  </si>
  <si>
    <t xml:space="preserve">  }</t>
  </si>
  <si>
    <t xml:space="preserve">     A_(ti, Tfwd) * exp(B_(ti, Tfwd) * xx[stp])</t>
  </si>
  <si>
    <t xml:space="preserve">    prstVAL[scn, stp] &lt;-cashFlow * p0[stp-1] /     # ｷｬｯｼｭﾌﾛｰの現在価値</t>
  </si>
  <si>
    <t xml:space="preserve">    cashFlow &lt;- Lbr - fixRate                      # 未調整のｷｬｯｼｭﾌﾛｰ</t>
  </si>
  <si>
    <t>Lbr &lt;- (1/pp[scn,stp-nxtStp]-1)                # ﾃﾅｰは無視</t>
  </si>
  <si>
    <t xml:space="preserve">    ti &lt;- dt * (stp-1)                             # ｽﾃｯﾌﾟを年に変換 </t>
  </si>
  <si>
    <t xml:space="preserve">  for (stp in seq(bgnEXstp, endEXstp, by=nxtStp)) { </t>
  </si>
  <si>
    <t xml:space="preserve">  # 個別ｷｬｯｼｭﾌﾛｰの計算 bgnEXstp=7から 2つおきでmaxStep までのﾙｰﾌﾟ</t>
  </si>
  <si>
    <t xml:space="preserve">  } # end ｽﾃｯﾌﾟ</t>
  </si>
  <si>
    <t xml:space="preserve">    A_(ti, ti+pFRQ) * exp(-B_(ti, ti+pFRQ) * xx[stp+1])</t>
  </si>
  <si>
    <t>pp[scn, stp+1] &lt;- p0[stp+nxtStp]/p0[stp] *       # .5年割債価格</t>
  </si>
  <si>
    <t xml:space="preserve">    xx[stp+1] &lt;- X_( xx[stp], ZZ[scn, stp],ti, Tfwd)</t>
  </si>
  <si>
    <t xml:space="preserve">    ti &lt;- dt * stp                                   # ｽﾃｯﾌﾟを年に変換</t>
  </si>
  <si>
    <t xml:space="preserve">  for (stp in 1:maxStep) {                           # ｽﾃｯﾌﾟのﾙｰﾌﾟ</t>
  </si>
  <si>
    <t xml:space="preserve">  # 6moLibor用に0.5年満期(=pFRQ)の割債価格を計算</t>
  </si>
  <si>
    <t>for(scn in 1:maxScenario){                           # ｼﾅﾘｵのﾙｰﾌﾟ</t>
  </si>
  <si>
    <t>prstVAL &lt;- matrix(0, maxScenario, 1+maxStep)         # 現在価値保存用</t>
  </si>
  <si>
    <t xml:space="preserve">   matrix(0, maxScenario, maxStep))              # 債券価格の過程</t>
  </si>
  <si>
    <t>pp &lt;- cbind(p0[nxtStp],                              # p0[2]は.5年のDF</t>
  </si>
  <si>
    <t>xx &lt;- rep(0, 1+maxStep)                              # ｼｮｰﾄﾚｰﾄ過程</t>
  </si>
  <si>
    <t># ５．価格過程の計算</t>
  </si>
  <si>
    <t>#ZZ &lt;- matrix(read.table("randOm02.csv")[,1], ncol=maxStep, byrow=T)</t>
  </si>
  <si>
    <t>ZZ &lt;- matrix(c(ZZ, -ZZ),ncol=maxStep, byrow=T)      # 対称変量法の乱数</t>
  </si>
  <si>
    <t>ZZ &lt;- rnorm(maxStep*maxScenario/2, mean=0, sd=1)    # 乱数(5千行, 6列)</t>
  </si>
  <si>
    <t># ４. ブラウン運動の乱数 ZZ = [1万行,6列]</t>
  </si>
  <si>
    <t>nxtStp      &lt;- pFRQ/dt  # 2            # 次のﾌﾛｰのｲﾝﾃﾞｯｸｽ</t>
  </si>
  <si>
    <t>maxStep     &lt;- Tfwd/dt  #12回          # 最大ステップ数</t>
  </si>
  <si>
    <t>maxScenario &lt;- 10000                   # シナリオ数 1万</t>
  </si>
  <si>
    <t>alpha       &lt;- 0.03                    # 回帰係数</t>
  </si>
  <si>
    <t>volaTBL     &lt;- 0.01                    # ボラティリティー</t>
  </si>
  <si>
    <t>fixRate     &lt;- 0.003 * pFRQ            # 固定金利 2%</t>
  </si>
  <si>
    <t>endEXstp    &lt;- (swapMTY)/dt+1          # 3年 最後交換日のｲﾝﾃﾞｯｸｽ</t>
  </si>
  <si>
    <t>bgnEXstp    &lt;- (swapBGN+pFRQ)/dt+1     # 1.5年 初回交換日のｲﾝﾃﾞｯｸｽ</t>
  </si>
  <si>
    <t>dt          &lt;- 0.25                    # ステップサイズ</t>
  </si>
  <si>
    <t>pFRQ        &lt;- 0.5                     # 交換頻度 payfrequency</t>
  </si>
  <si>
    <t>Tfwd        &lt;- swapMTY                 # Tﾌｫﾜｰﾄﾞ年数=ｽﾜｯﾌﾟ満期年</t>
  </si>
  <si>
    <t>swapMTY     &lt;- 3                       # ｽﾜｯﾌﾟ満期年</t>
  </si>
  <si>
    <t>swapBGN     &lt;- 1                       # ｽﾜｯﾌﾟ開始年</t>
  </si>
  <si>
    <t># ３. 初期パラメータ</t>
  </si>
  <si>
    <t>#p0 &lt;-read.table("curve_031212.csv")[,1]</t>
  </si>
  <si>
    <t xml:space="preserve">   0.985488,0.98416 ,0.982534,0.980838,0.979091,0.977296)</t>
  </si>
  <si>
    <t xml:space="preserve">       0.993204,0.992217,0.991227,0.990235,0.989209,0.988013,0.986773,</t>
  </si>
  <si>
    <t>p0 &lt;-c(0.9995  ,0.998286,0.997443,0.996612,0.995755,0.994868,0.994027,</t>
  </si>
  <si>
    <t># ２．現在のイールドカーブ情報（ﾃﾞｨｽｶｳﾝﾄﾌｧｸﾀｰﾍﾞｰｽ）</t>
  </si>
  <si>
    <t xml:space="preserve">       volaTBL * zz * (0.5 * B_(2*(ti-dt), 2*ti))^0.5</t>
  </si>
  <si>
    <t xml:space="preserve">      (B_(ti, Tfwd) + 0.5 * B_(ti-dt, ti) * exp(-alpha * (Tfwd - ti))) +</t>
  </si>
  <si>
    <t xml:space="preserve">      exp(-alpha * dt) * xx - volaTBL^2 * B_(ti-dt, ti) * </t>
  </si>
  <si>
    <t xml:space="preserve">  X_ &lt;- function (xx, zz, ti, Tfwd)</t>
  </si>
  <si>
    <t># X_関数(xx:１つ前のxx, zz:乱数, ti:求める年数 Tfwd:T forward measure)</t>
  </si>
  <si>
    <t xml:space="preserve">      ( B_(ti, tj) * B_(0, 2*ti) + 2 * B_(0, ti)^2) )</t>
  </si>
  <si>
    <t xml:space="preserve">      exp( -0.25 * volaTBL^2 * B_(ti, tj) *</t>
  </si>
  <si>
    <t xml:space="preserve">  A_ &lt;- function (ti, tj)</t>
  </si>
  <si>
    <t># A_関数()</t>
  </si>
  <si>
    <t xml:space="preserve">      (1 - exp(-alpha * (tj - ti))) / alpha</t>
  </si>
  <si>
    <t xml:space="preserve">  B_ &lt;- function (ti, tj) </t>
  </si>
  <si>
    <t># B_関数</t>
  </si>
  <si>
    <t xml:space="preserve">  rm( list=ls() )                        # 初期化</t>
  </si>
  <si>
    <t># １．関数等の定義 -- 1行の数式であり、{}を省略</t>
  </si>
  <si>
    <t>=NORMSINV(RAND())</t>
    <phoneticPr fontId="7"/>
  </si>
  <si>
    <t>D15=x_(D14,C14,A15,A23)</t>
    <phoneticPr fontId="7"/>
  </si>
  <si>
    <t>(D列 数式)</t>
    <rPh sb="2" eb="3">
      <t>レツ</t>
    </rPh>
    <rPh sb="4" eb="6">
      <t>スウシキ</t>
    </rPh>
    <phoneticPr fontId="7"/>
  </si>
  <si>
    <t>=SUM(V7:V11)</t>
    <phoneticPr fontId="7"/>
  </si>
  <si>
    <t>現在価値合計</t>
    <rPh sb="0" eb="2">
      <t>ゲンザイ</t>
    </rPh>
    <rPh sb="2" eb="4">
      <t>カチ</t>
    </rPh>
    <rPh sb="4" eb="6">
      <t>ゴウケイ</t>
    </rPh>
    <phoneticPr fontId="7"/>
  </si>
  <si>
    <t>=R11*B11/U11*EXP(T11*D11)</t>
    <phoneticPr fontId="7"/>
  </si>
  <si>
    <t>=P7-R1</t>
    <phoneticPr fontId="7"/>
  </si>
  <si>
    <t>=A_(A11,A23)</t>
    <phoneticPr fontId="7"/>
  </si>
  <si>
    <t>=A_(A7,A23)</t>
    <phoneticPr fontId="7"/>
  </si>
  <si>
    <t>=B_(A7,A23)</t>
    <phoneticPr fontId="7"/>
  </si>
  <si>
    <t>=R7*B7/U7*EXP(T7*D7)</t>
    <phoneticPr fontId="7"/>
  </si>
  <si>
    <t>=P3-R1</t>
    <phoneticPr fontId="7"/>
  </si>
  <si>
    <t>=(1-N4)/SUM(G4:N4)</t>
    <phoneticPr fontId="7"/>
  </si>
  <si>
    <t>=B16/B4*J4*EXP(-I4*D4)</t>
    <phoneticPr fontId="7"/>
  </si>
  <si>
    <t>=A_(A4,A16)</t>
    <phoneticPr fontId="7"/>
  </si>
  <si>
    <t>=(1-N3)/SUM(G3:N3)</t>
    <phoneticPr fontId="7"/>
  </si>
  <si>
    <t>=B15/B3*J3*EXP(-I3*D3)</t>
    <phoneticPr fontId="7"/>
  </si>
  <si>
    <t>=A_(A3,A15)</t>
    <phoneticPr fontId="7"/>
  </si>
  <si>
    <t>(V列 数式)</t>
    <rPh sb="2" eb="3">
      <t>レツ</t>
    </rPh>
    <rPh sb="4" eb="6">
      <t>スウシキ</t>
    </rPh>
    <phoneticPr fontId="7"/>
  </si>
  <si>
    <t>A(t, 5)</t>
    <phoneticPr fontId="7"/>
  </si>
  <si>
    <t>B(t, 5)</t>
    <phoneticPr fontId="7"/>
  </si>
  <si>
    <t>(R列 数式)</t>
    <rPh sb="2" eb="3">
      <t>レツ</t>
    </rPh>
    <rPh sb="4" eb="6">
      <t>スウシキ</t>
    </rPh>
    <phoneticPr fontId="7"/>
  </si>
  <si>
    <t>(P列 数式)</t>
    <rPh sb="2" eb="3">
      <t>レツ</t>
    </rPh>
    <rPh sb="4" eb="6">
      <t>スウシキ</t>
    </rPh>
    <phoneticPr fontId="7"/>
  </si>
  <si>
    <t>3yCMS</t>
    <phoneticPr fontId="7"/>
  </si>
  <si>
    <t>(N列 数式)</t>
    <rPh sb="2" eb="3">
      <t>レツ</t>
    </rPh>
    <rPh sb="4" eb="6">
      <t>スウシキ</t>
    </rPh>
    <phoneticPr fontId="7"/>
  </si>
  <si>
    <t>P(t, +3)</t>
  </si>
  <si>
    <t>P(t, +2)</t>
  </si>
  <si>
    <t>P(t, +1)</t>
    <phoneticPr fontId="7"/>
  </si>
  <si>
    <t>(J列 数式)</t>
    <rPh sb="2" eb="3">
      <t>レツ</t>
    </rPh>
    <rPh sb="4" eb="6">
      <t>スウシキ</t>
    </rPh>
    <phoneticPr fontId="7"/>
  </si>
  <si>
    <t>A(t, +3)</t>
    <phoneticPr fontId="7"/>
  </si>
  <si>
    <t>B(t, +3)</t>
    <phoneticPr fontId="7"/>
  </si>
  <si>
    <t>A(t, +2)</t>
    <phoneticPr fontId="7"/>
  </si>
  <si>
    <t>B(t, +2)</t>
    <phoneticPr fontId="7"/>
  </si>
  <si>
    <t>A(t, +1)</t>
    <phoneticPr fontId="7"/>
  </si>
  <si>
    <t>B(t, +1)</t>
    <phoneticPr fontId="7"/>
  </si>
  <si>
    <t>x</t>
    <phoneticPr fontId="7"/>
  </si>
  <si>
    <t>R列</t>
    <rPh sb="1" eb="2">
      <t>レツ</t>
    </rPh>
    <phoneticPr fontId="7"/>
  </si>
  <si>
    <r>
      <t xml:space="preserve">        mean(rowSums(prstVAL))*100)     # </t>
    </r>
    <r>
      <rPr>
        <sz val="10"/>
        <rFont val="ＭＳ Ｐゴシック"/>
        <family val="3"/>
        <charset val="128"/>
      </rPr>
      <t>ﾌﾟﾚﾐｱﾑ。合計値の平均を計算</t>
    </r>
  </si>
  <si>
    <r>
      <t>sprintf("Swap Premium = %f%%",              # prstVAL</t>
    </r>
    <r>
      <rPr>
        <sz val="10"/>
        <rFont val="ＭＳ Ｐゴシック"/>
        <family val="3"/>
        <charset val="128"/>
      </rPr>
      <t>の行の合計が</t>
    </r>
    <r>
      <rPr>
        <sz val="11"/>
        <color theme="1"/>
        <rFont val="ＭＳ Ｐゴシック"/>
        <family val="2"/>
        <scheme val="minor"/>
      </rPr>
      <t>1</t>
    </r>
    <r>
      <rPr>
        <sz val="10"/>
        <rFont val="ＭＳ Ｐゴシック"/>
        <family val="3"/>
        <charset val="128"/>
      </rPr>
      <t>ｼﾅﾘｵの</t>
    </r>
  </si>
  <si>
    <r>
      <t xml:space="preserve"># </t>
    </r>
    <r>
      <rPr>
        <sz val="10"/>
        <rFont val="ＭＳ Ｐゴシック"/>
        <family val="3"/>
        <charset val="128"/>
      </rPr>
      <t>６．プレミアムの平均値計算</t>
    </r>
  </si>
  <si>
    <r>
      <t xml:space="preserve">} # end </t>
    </r>
    <r>
      <rPr>
        <sz val="10"/>
        <rFont val="ＭＳ Ｐゴシック"/>
        <family val="3"/>
        <charset val="128"/>
      </rPr>
      <t>ｼﾅﾘｵ</t>
    </r>
  </si>
  <si>
    <r>
      <t xml:space="preserve">    prstVAL[scn, stp] &lt;-cashFlow * p0[stp-1] /           # </t>
    </r>
    <r>
      <rPr>
        <sz val="10"/>
        <rFont val="ＭＳ Ｐゴシック"/>
        <family val="3"/>
        <charset val="128"/>
      </rPr>
      <t>ｷｬｯｼｭﾌﾛｰの現在価値</t>
    </r>
  </si>
  <si>
    <r>
      <t xml:space="preserve">    cashFlow &lt;- cmsRate - fixRate                        # 0.5</t>
    </r>
    <r>
      <rPr>
        <sz val="10"/>
        <rFont val="ＭＳ Ｐゴシック"/>
        <family val="3"/>
        <charset val="128"/>
      </rPr>
      <t>年後のｷｬｯｼｭﾌﾛｰ</t>
    </r>
  </si>
  <si>
    <r>
      <t xml:space="preserve">annuity[scn, stp-nxtStp]               # </t>
    </r>
    <r>
      <rPr>
        <sz val="10"/>
        <rFont val="ＭＳ Ｐゴシック"/>
        <family val="3"/>
        <charset val="128"/>
      </rPr>
      <t>ﾃﾅｰは無視</t>
    </r>
  </si>
  <si>
    <t>cmsRate &lt;- (1-pp3[scn, stp-nxtStp])/</t>
  </si>
  <si>
    <r>
      <t xml:space="preserve">    ti &lt;- dt * (stp-1)                                     # </t>
    </r>
    <r>
      <rPr>
        <sz val="10"/>
        <rFont val="ＭＳ Ｐゴシック"/>
        <family val="3"/>
        <charset val="128"/>
      </rPr>
      <t>ｽﾃｯﾌﾟを年に変換</t>
    </r>
    <r>
      <rPr>
        <sz val="11"/>
        <color theme="1"/>
        <rFont val="ＭＳ Ｐゴシック"/>
        <family val="2"/>
        <scheme val="minor"/>
      </rPr>
      <t xml:space="preserve"> </t>
    </r>
  </si>
  <si>
    <t xml:space="preserve">  for (stp in seq(intEXstp, endEXstp, by=nxtStp)) { </t>
  </si>
  <si>
    <r>
      <t xml:space="preserve">  # </t>
    </r>
    <r>
      <rPr>
        <sz val="10"/>
        <rFont val="ＭＳ Ｐゴシック"/>
        <family val="3"/>
        <charset val="128"/>
      </rPr>
      <t>個別ｷｬｯｼｭﾌﾛｰの計算</t>
    </r>
    <r>
      <rPr>
        <sz val="11"/>
        <color theme="1"/>
        <rFont val="ＭＳ Ｐゴシック"/>
        <family val="2"/>
        <scheme val="minor"/>
      </rPr>
      <t xml:space="preserve"> intEX/dt=6</t>
    </r>
    <r>
      <rPr>
        <sz val="10"/>
        <rFont val="ＭＳ Ｐゴシック"/>
        <family val="3"/>
        <charset val="128"/>
      </rPr>
      <t>から</t>
    </r>
    <r>
      <rPr>
        <sz val="11"/>
        <color theme="1"/>
        <rFont val="ＭＳ Ｐゴシック"/>
        <family val="2"/>
        <scheme val="minor"/>
      </rPr>
      <t xml:space="preserve"> 2</t>
    </r>
    <r>
      <rPr>
        <sz val="10"/>
        <rFont val="ＭＳ Ｐゴシック"/>
        <family val="3"/>
        <charset val="128"/>
      </rPr>
      <t>つおきで</t>
    </r>
    <r>
      <rPr>
        <sz val="11"/>
        <color theme="1"/>
        <rFont val="ＭＳ Ｐゴシック"/>
        <family val="2"/>
        <scheme val="minor"/>
      </rPr>
      <t xml:space="preserve">maxStep </t>
    </r>
    <r>
      <rPr>
        <sz val="10"/>
        <rFont val="ＭＳ Ｐゴシック"/>
        <family val="3"/>
        <charset val="128"/>
      </rPr>
      <t>までのﾙｰﾌﾟ</t>
    </r>
  </si>
  <si>
    <r>
      <t xml:space="preserve">  } # end </t>
    </r>
    <r>
      <rPr>
        <sz val="10"/>
        <rFont val="ＭＳ Ｐゴシック"/>
        <family val="3"/>
        <charset val="128"/>
      </rPr>
      <t>ｽﾃｯﾌﾟ</t>
    </r>
  </si>
  <si>
    <t xml:space="preserve">    annuity[scn, stp+1] &lt;-pp1[scn, stp+1]+pp2[scn, stp+1]+pp3[scn, stp+1]</t>
  </si>
  <si>
    <t xml:space="preserve">    pp3[scn, stp+1] &lt;- p0[stp+3/dt]/p0[stp]*A_(ti, ti+3) * exp(-B_(ti, ti+3) * xx[stp+1])</t>
  </si>
  <si>
    <t xml:space="preserve">    pp2[scn, stp+1] &lt;- p0[stp+2/dt]/p0[stp]*A_(ti, ti+2) * exp(-B_(ti, ti+2) * xx[stp+1])</t>
  </si>
  <si>
    <t xml:space="preserve">    pp1[scn, stp+1] &lt;- p0[stp+1/dt]/p0[stp]*A_(ti, ti+1) * exp(-B_(ti, ti+1) * xx[stp+1])</t>
  </si>
  <si>
    <t>xx[stp+1] &lt;- X_( xx[stp], ZZ[scn, stp],ti, Tfwd)</t>
  </si>
  <si>
    <r>
      <t xml:space="preserve">    ti &lt;- dt * stp                                   # </t>
    </r>
    <r>
      <rPr>
        <sz val="10"/>
        <rFont val="ＭＳ Ｐゴシック"/>
        <family val="3"/>
        <charset val="128"/>
      </rPr>
      <t>ｽﾃｯﾌﾟを年に変換</t>
    </r>
  </si>
  <si>
    <r>
      <t xml:space="preserve">  for (stp in 1:maxStep) {                           # </t>
    </r>
    <r>
      <rPr>
        <sz val="10"/>
        <rFont val="ＭＳ Ｐゴシック"/>
        <family val="3"/>
        <charset val="128"/>
      </rPr>
      <t>ｽﾃｯﾌﾟのﾙｰﾌﾟ</t>
    </r>
  </si>
  <si>
    <r>
      <t xml:space="preserve">  # 1,2,3</t>
    </r>
    <r>
      <rPr>
        <sz val="10"/>
        <rFont val="ＭＳ Ｐゴシック"/>
        <family val="3"/>
        <charset val="128"/>
      </rPr>
      <t>年満期の割債価格を計算</t>
    </r>
  </si>
  <si>
    <r>
      <t xml:space="preserve">for(scn in 1:maxScenario){                           # </t>
    </r>
    <r>
      <rPr>
        <sz val="10"/>
        <rFont val="ＭＳ Ｐゴシック"/>
        <family val="3"/>
        <charset val="128"/>
      </rPr>
      <t>ｼﾅﾘｵのﾙｰﾌﾟ</t>
    </r>
  </si>
  <si>
    <r>
      <t xml:space="preserve">prstVAL &lt;- matrix(0, maxScenario, maxStep+1)           # </t>
    </r>
    <r>
      <rPr>
        <sz val="10"/>
        <rFont val="ＭＳ Ｐゴシック"/>
        <family val="3"/>
        <charset val="128"/>
      </rPr>
      <t>現在価値保存用</t>
    </r>
  </si>
  <si>
    <r>
      <t xml:space="preserve">    matrix(0, maxScenario, maxStep))            # </t>
    </r>
    <r>
      <rPr>
        <sz val="10"/>
        <rFont val="ＭＳ Ｐゴシック"/>
        <family val="3"/>
        <charset val="128"/>
      </rPr>
      <t>債券価格の過程</t>
    </r>
  </si>
  <si>
    <t>annuity &lt;- cbind(p0[1/dt]+p0[2/dt]+p0[3/dt],</t>
  </si>
  <si>
    <r>
      <t xml:space="preserve">pp3 &lt;- cbind(p0[3/dt],matrix(0, maxScenario, maxStep))                # </t>
    </r>
    <r>
      <rPr>
        <sz val="10"/>
        <rFont val="ＭＳ Ｐゴシック"/>
        <family val="3"/>
        <charset val="128"/>
      </rPr>
      <t>債券価格の過程</t>
    </r>
  </si>
  <si>
    <r>
      <t xml:space="preserve">pp2 &lt;- cbind(p0[2/dt],matrix(0, maxScenario, maxStep))                # </t>
    </r>
    <r>
      <rPr>
        <sz val="10"/>
        <rFont val="ＭＳ Ｐゴシック"/>
        <family val="3"/>
        <charset val="128"/>
      </rPr>
      <t>債券価格の過程</t>
    </r>
  </si>
  <si>
    <r>
      <t xml:space="preserve">pp1 &lt;- cbind(p0[1/dt],matrix(0, maxScenario, maxStep))                # </t>
    </r>
    <r>
      <rPr>
        <sz val="10"/>
        <rFont val="ＭＳ Ｐゴシック"/>
        <family val="3"/>
        <charset val="128"/>
      </rPr>
      <t>債券価格の過程</t>
    </r>
  </si>
  <si>
    <r>
      <t xml:space="preserve">xx  &lt;- rep(0, maxStep+1)                 # </t>
    </r>
    <r>
      <rPr>
        <sz val="10"/>
        <rFont val="ＭＳ Ｐゴシック"/>
        <family val="3"/>
        <charset val="128"/>
      </rPr>
      <t>ｼｮｰﾄﾚｰﾄ過程</t>
    </r>
  </si>
  <si>
    <r>
      <t xml:space="preserve"># </t>
    </r>
    <r>
      <rPr>
        <sz val="10"/>
        <rFont val="ＭＳ Ｐゴシック"/>
        <family val="3"/>
        <charset val="128"/>
      </rPr>
      <t>５．価格過程の計算</t>
    </r>
  </si>
  <si>
    <t>#ZZ &lt;- matrix(read.table("randOm01.csv")[,1], ncol=maxStep, byrow=T)</t>
  </si>
  <si>
    <r>
      <t xml:space="preserve">ZZ &lt;- matrix(c(ZZ, -ZZ),ncol=maxStep, byrow=T)      # </t>
    </r>
    <r>
      <rPr>
        <sz val="10"/>
        <rFont val="ＭＳ Ｐゴシック"/>
        <family val="3"/>
        <charset val="128"/>
      </rPr>
      <t>対称変量法の乱数</t>
    </r>
  </si>
  <si>
    <r>
      <t xml:space="preserve">ZZ &lt;- rnorm(maxStep*maxScenario/2, mean=0, sd=1)    # </t>
    </r>
    <r>
      <rPr>
        <sz val="10"/>
        <rFont val="ＭＳ Ｐゴシック"/>
        <family val="3"/>
        <charset val="128"/>
      </rPr>
      <t>乱数</t>
    </r>
    <r>
      <rPr>
        <sz val="11"/>
        <color theme="1"/>
        <rFont val="ＭＳ Ｐゴシック"/>
        <family val="2"/>
        <scheme val="minor"/>
      </rPr>
      <t>(5</t>
    </r>
    <r>
      <rPr>
        <sz val="10"/>
        <rFont val="ＭＳ Ｐゴシック"/>
        <family val="3"/>
        <charset val="128"/>
      </rPr>
      <t>万行</t>
    </r>
    <r>
      <rPr>
        <sz val="11"/>
        <color theme="1"/>
        <rFont val="ＭＳ Ｐゴシック"/>
        <family val="2"/>
        <scheme val="minor"/>
      </rPr>
      <t>, 6</t>
    </r>
    <r>
      <rPr>
        <sz val="10"/>
        <rFont val="ＭＳ Ｐゴシック"/>
        <family val="3"/>
        <charset val="128"/>
      </rPr>
      <t>列</t>
    </r>
    <r>
      <rPr>
        <sz val="11"/>
        <color theme="1"/>
        <rFont val="ＭＳ Ｐゴシック"/>
        <family val="2"/>
        <scheme val="minor"/>
      </rPr>
      <t>)</t>
    </r>
  </si>
  <si>
    <r>
      <t xml:space="preserve"># </t>
    </r>
    <r>
      <rPr>
        <sz val="10"/>
        <rFont val="ＭＳ Ｐゴシック"/>
        <family val="3"/>
        <charset val="128"/>
      </rPr>
      <t>４</t>
    </r>
    <r>
      <rPr>
        <sz val="11"/>
        <color theme="1"/>
        <rFont val="ＭＳ Ｐゴシック"/>
        <family val="2"/>
        <scheme val="minor"/>
      </rPr>
      <t xml:space="preserve">. </t>
    </r>
    <r>
      <rPr>
        <sz val="10"/>
        <rFont val="ＭＳ Ｐゴシック"/>
        <family val="3"/>
        <charset val="128"/>
      </rPr>
      <t>ブラウン運動の乱数</t>
    </r>
    <r>
      <rPr>
        <sz val="11"/>
        <color theme="1"/>
        <rFont val="ＭＳ Ｐゴシック"/>
        <family val="2"/>
        <scheme val="minor"/>
      </rPr>
      <t xml:space="preserve"> ZZ = [10</t>
    </r>
    <r>
      <rPr>
        <sz val="10"/>
        <rFont val="ＭＳ Ｐゴシック"/>
        <family val="3"/>
        <charset val="128"/>
      </rPr>
      <t>万行</t>
    </r>
    <r>
      <rPr>
        <sz val="11"/>
        <color theme="1"/>
        <rFont val="ＭＳ Ｐゴシック"/>
        <family val="2"/>
        <scheme val="minor"/>
      </rPr>
      <t>,6</t>
    </r>
    <r>
      <rPr>
        <sz val="10"/>
        <rFont val="ＭＳ Ｐゴシック"/>
        <family val="3"/>
        <charset val="128"/>
      </rPr>
      <t>列</t>
    </r>
    <r>
      <rPr>
        <sz val="11"/>
        <color theme="1"/>
        <rFont val="ＭＳ Ｐゴシック"/>
        <family val="2"/>
        <scheme val="minor"/>
      </rPr>
      <t>]</t>
    </r>
  </si>
  <si>
    <t>p0 &lt;-read.table("curve_031212.csv")[,1]</t>
  </si>
  <si>
    <r>
      <t xml:space="preserve"># </t>
    </r>
    <r>
      <rPr>
        <sz val="10"/>
        <rFont val="ＭＳ Ｐゴシック"/>
        <family val="3"/>
        <charset val="128"/>
      </rPr>
      <t>３．現在のイールドカーブ情報（ﾃﾞｨｽｶｳﾝﾄﾌｧｸﾀｰﾍﾞｰｽ）</t>
    </r>
  </si>
  <si>
    <r>
      <t xml:space="preserve">maxScenario    &lt;- 10000 #0000              # </t>
    </r>
    <r>
      <rPr>
        <sz val="10"/>
        <rFont val="ＭＳ Ｐゴシック"/>
        <family val="3"/>
        <charset val="128"/>
      </rPr>
      <t>シナリオ数</t>
    </r>
    <r>
      <rPr>
        <sz val="11"/>
        <color theme="1"/>
        <rFont val="ＭＳ Ｐゴシック"/>
        <family val="2"/>
        <scheme val="minor"/>
      </rPr>
      <t xml:space="preserve"> 10</t>
    </r>
    <r>
      <rPr>
        <sz val="10"/>
        <rFont val="ＭＳ Ｐゴシック"/>
        <family val="3"/>
        <charset val="128"/>
      </rPr>
      <t>万</t>
    </r>
  </si>
  <si>
    <r>
      <t>maxStep        &lt;- Tfwd/dt  #20</t>
    </r>
    <r>
      <rPr>
        <sz val="10"/>
        <rFont val="ＭＳ Ｐゴシック"/>
        <family val="3"/>
        <charset val="128"/>
      </rPr>
      <t>回</t>
    </r>
    <r>
      <rPr>
        <sz val="11"/>
        <color theme="1"/>
        <rFont val="ＭＳ Ｐゴシック"/>
        <family val="2"/>
        <scheme val="minor"/>
      </rPr>
      <t xml:space="preserve">          # </t>
    </r>
    <r>
      <rPr>
        <sz val="10"/>
        <rFont val="ＭＳ Ｐゴシック"/>
        <family val="3"/>
        <charset val="128"/>
      </rPr>
      <t>最大ステップ数</t>
    </r>
  </si>
  <si>
    <r>
      <t xml:space="preserve">nxtStp      &lt;- pFRQ/dt  # 2            # </t>
    </r>
    <r>
      <rPr>
        <sz val="10"/>
        <rFont val="ＭＳ Ｐゴシック"/>
        <family val="3"/>
        <charset val="128"/>
      </rPr>
      <t>次のﾌﾛｰのｲﾝﾃﾞｯｸｽ</t>
    </r>
  </si>
  <si>
    <r>
      <t>endEXstp    &lt;- (swapMTY)/dt+1          # 3</t>
    </r>
    <r>
      <rPr>
        <sz val="10"/>
        <rFont val="ＭＳ Ｐゴシック"/>
        <family val="3"/>
        <charset val="128"/>
      </rPr>
      <t>年</t>
    </r>
    <r>
      <rPr>
        <sz val="11"/>
        <color theme="1"/>
        <rFont val="ＭＳ Ｐゴシック"/>
        <family val="2"/>
        <scheme val="minor"/>
      </rPr>
      <t xml:space="preserve"> </t>
    </r>
    <r>
      <rPr>
        <sz val="10"/>
        <rFont val="ＭＳ Ｐゴシック"/>
        <family val="3"/>
        <charset val="128"/>
      </rPr>
      <t>最後交換日のｲﾝﾃﾞｯｸｽ</t>
    </r>
  </si>
  <si>
    <r>
      <t>intEXstp    &lt;- (swapBGN+pFRQ)/dt+1     #1.5</t>
    </r>
    <r>
      <rPr>
        <sz val="10"/>
        <rFont val="ＭＳ Ｐゴシック"/>
        <family val="3"/>
        <charset val="128"/>
      </rPr>
      <t>年</t>
    </r>
    <r>
      <rPr>
        <sz val="11"/>
        <color theme="1"/>
        <rFont val="ＭＳ Ｐゴシック"/>
        <family val="2"/>
        <scheme val="minor"/>
      </rPr>
      <t xml:space="preserve"> </t>
    </r>
    <r>
      <rPr>
        <sz val="10"/>
        <rFont val="ＭＳ Ｐゴシック"/>
        <family val="3"/>
        <charset val="128"/>
      </rPr>
      <t>初回交換日のｲﾝﾃﾞｯｸｽ</t>
    </r>
  </si>
  <si>
    <r>
      <t xml:space="preserve">dt             &lt;- 0.25                    # </t>
    </r>
    <r>
      <rPr>
        <sz val="10"/>
        <rFont val="ＭＳ Ｐゴシック"/>
        <family val="3"/>
        <charset val="128"/>
      </rPr>
      <t>ステップサイズ</t>
    </r>
  </si>
  <si>
    <r>
      <t xml:space="preserve">alpha          &lt;- 0.10                    # </t>
    </r>
    <r>
      <rPr>
        <sz val="10"/>
        <rFont val="ＭＳ Ｐゴシック"/>
        <family val="3"/>
        <charset val="128"/>
      </rPr>
      <t>回帰係数</t>
    </r>
  </si>
  <si>
    <r>
      <t xml:space="preserve">volaTBL        &lt;- 0.01                    # </t>
    </r>
    <r>
      <rPr>
        <sz val="10"/>
        <rFont val="ＭＳ Ｐゴシック"/>
        <family val="3"/>
        <charset val="128"/>
      </rPr>
      <t>ボラティリティー</t>
    </r>
  </si>
  <si>
    <r>
      <t>Tfwd           &lt;- swapMTY+cmsYR                 # T</t>
    </r>
    <r>
      <rPr>
        <sz val="10"/>
        <rFont val="ＭＳ Ｐゴシック"/>
        <family val="3"/>
        <charset val="128"/>
      </rPr>
      <t>ﾌｫﾜｰﾄﾞ年数</t>
    </r>
  </si>
  <si>
    <r>
      <t xml:space="preserve">fixRate        &lt;- 0.02 * pFRQ            # </t>
    </r>
    <r>
      <rPr>
        <sz val="10"/>
        <rFont val="ＭＳ Ｐゴシック"/>
        <family val="3"/>
        <charset val="128"/>
      </rPr>
      <t>固定金利</t>
    </r>
    <r>
      <rPr>
        <sz val="11"/>
        <color theme="1"/>
        <rFont val="ＭＳ Ｐゴシック"/>
        <family val="2"/>
        <scheme val="minor"/>
      </rPr>
      <t xml:space="preserve"> 2%</t>
    </r>
  </si>
  <si>
    <r>
      <t xml:space="preserve">pFRQ          &lt;- 1                      # pay frequency </t>
    </r>
    <r>
      <rPr>
        <sz val="10"/>
        <rFont val="ＭＳ Ｐゴシック"/>
        <family val="3"/>
        <charset val="128"/>
      </rPr>
      <t>半年毎</t>
    </r>
  </si>
  <si>
    <t>cmsYR          &lt;- 3</t>
  </si>
  <si>
    <r>
      <t xml:space="preserve">swapMTY        &lt;- 2                       # </t>
    </r>
    <r>
      <rPr>
        <sz val="10"/>
        <rFont val="ＭＳ Ｐゴシック"/>
        <family val="3"/>
        <charset val="128"/>
      </rPr>
      <t>ｽﾜｯﾌﾟ満期年</t>
    </r>
  </si>
  <si>
    <r>
      <t xml:space="preserve">swapBGN        &lt;- 0                       # </t>
    </r>
    <r>
      <rPr>
        <sz val="10"/>
        <rFont val="ＭＳ Ｐゴシック"/>
        <family val="3"/>
        <charset val="128"/>
      </rPr>
      <t>ｽﾜｯﾌﾟ開始年</t>
    </r>
  </si>
  <si>
    <r>
      <t xml:space="preserve"># </t>
    </r>
    <r>
      <rPr>
        <sz val="10"/>
        <rFont val="ＭＳ Ｐゴシック"/>
        <family val="3"/>
        <charset val="128"/>
      </rPr>
      <t>２</t>
    </r>
    <r>
      <rPr>
        <sz val="11"/>
        <color theme="1"/>
        <rFont val="ＭＳ Ｐゴシック"/>
        <family val="2"/>
        <scheme val="minor"/>
      </rPr>
      <t xml:space="preserve">. </t>
    </r>
    <r>
      <rPr>
        <sz val="10"/>
        <rFont val="ＭＳ Ｐゴシック"/>
        <family val="3"/>
        <charset val="128"/>
      </rPr>
      <t>初期パラメータ</t>
    </r>
  </si>
  <si>
    <r>
      <t># X_</t>
    </r>
    <r>
      <rPr>
        <sz val="10"/>
        <rFont val="ＭＳ Ｐゴシック"/>
        <family val="3"/>
        <charset val="128"/>
      </rPr>
      <t>関数</t>
    </r>
    <r>
      <rPr>
        <sz val="11"/>
        <color theme="1"/>
        <rFont val="ＭＳ Ｐゴシック"/>
        <family val="2"/>
        <scheme val="minor"/>
      </rPr>
      <t>(xx:</t>
    </r>
    <r>
      <rPr>
        <sz val="10"/>
        <rFont val="ＭＳ Ｐゴシック"/>
        <family val="3"/>
        <charset val="128"/>
      </rPr>
      <t>１つ前の</t>
    </r>
    <r>
      <rPr>
        <sz val="11"/>
        <color theme="1"/>
        <rFont val="ＭＳ Ｐゴシック"/>
        <family val="2"/>
        <scheme val="minor"/>
      </rPr>
      <t>xx, zz:</t>
    </r>
    <r>
      <rPr>
        <sz val="10"/>
        <rFont val="ＭＳ Ｐゴシック"/>
        <family val="3"/>
        <charset val="128"/>
      </rPr>
      <t>乱数</t>
    </r>
    <r>
      <rPr>
        <sz val="11"/>
        <color theme="1"/>
        <rFont val="ＭＳ Ｐゴシック"/>
        <family val="2"/>
        <scheme val="minor"/>
      </rPr>
      <t>, ti:</t>
    </r>
    <r>
      <rPr>
        <sz val="10"/>
        <rFont val="ＭＳ Ｐゴシック"/>
        <family val="3"/>
        <charset val="128"/>
      </rPr>
      <t>求める年数</t>
    </r>
    <r>
      <rPr>
        <sz val="11"/>
        <color theme="1"/>
        <rFont val="ＭＳ Ｐゴシック"/>
        <family val="2"/>
        <scheme val="minor"/>
      </rPr>
      <t xml:space="preserve"> Tfwd:T forward measure)</t>
    </r>
  </si>
  <si>
    <r>
      <t># A_</t>
    </r>
    <r>
      <rPr>
        <sz val="10"/>
        <rFont val="ＭＳ Ｐゴシック"/>
        <family val="3"/>
        <charset val="128"/>
      </rPr>
      <t>関数</t>
    </r>
    <r>
      <rPr>
        <sz val="11"/>
        <color theme="1"/>
        <rFont val="ＭＳ Ｐゴシック"/>
        <family val="2"/>
        <scheme val="minor"/>
      </rPr>
      <t>()</t>
    </r>
  </si>
  <si>
    <r>
      <t># B_</t>
    </r>
    <r>
      <rPr>
        <sz val="10"/>
        <rFont val="ＭＳ Ｐゴシック"/>
        <family val="3"/>
        <charset val="128"/>
      </rPr>
      <t>関数</t>
    </r>
  </si>
  <si>
    <r>
      <t xml:space="preserve">  rm( list=ls() )                        # </t>
    </r>
    <r>
      <rPr>
        <sz val="10"/>
        <rFont val="ＭＳ Ｐゴシック"/>
        <family val="3"/>
        <charset val="128"/>
      </rPr>
      <t>初期化</t>
    </r>
  </si>
  <si>
    <r>
      <t xml:space="preserve"># </t>
    </r>
    <r>
      <rPr>
        <sz val="10"/>
        <rFont val="ＭＳ Ｐゴシック"/>
        <family val="3"/>
        <charset val="128"/>
      </rPr>
      <t>１．関数の定義</t>
    </r>
    <r>
      <rPr>
        <sz val="11"/>
        <color theme="1"/>
        <rFont val="ＭＳ Ｐゴシック"/>
        <family val="2"/>
        <scheme val="minor"/>
      </rPr>
      <t xml:space="preserve"> -- 1</t>
    </r>
    <r>
      <rPr>
        <sz val="10"/>
        <rFont val="ＭＳ Ｐゴシック"/>
        <family val="3"/>
        <charset val="128"/>
      </rPr>
      <t>行の数式であり、</t>
    </r>
    <r>
      <rPr>
        <sz val="11"/>
        <color theme="1"/>
        <rFont val="ＭＳ Ｐゴシック"/>
        <family val="2"/>
        <scheme val="minor"/>
      </rPr>
      <t>{}</t>
    </r>
    <r>
      <rPr>
        <sz val="10"/>
        <rFont val="ＭＳ Ｐゴシック"/>
        <family val="3"/>
        <charset val="128"/>
      </rPr>
      <t>を省略</t>
    </r>
  </si>
  <si>
    <t>=K5</t>
    <phoneticPr fontId="2" type="noConversion"/>
  </si>
  <si>
    <t>=I5-H5</t>
    <phoneticPr fontId="2" type="noConversion"/>
  </si>
  <si>
    <t>d2</t>
  </si>
  <si>
    <t>d1</t>
  </si>
  <si>
    <t>=(0.5 * G1^2 * G5 * F5^2 ) ^0.5</t>
    <phoneticPr fontId="2" type="noConversion"/>
  </si>
  <si>
    <t>σp</t>
  </si>
  <si>
    <t>B(2t,2T)</t>
  </si>
  <si>
    <t>B(T,S)</t>
  </si>
  <si>
    <r>
      <t>（</t>
    </r>
    <r>
      <rPr>
        <sz val="10"/>
        <rFont val="Arial"/>
        <family val="2"/>
      </rPr>
      <t>F5</t>
    </r>
    <r>
      <rPr>
        <sz val="10"/>
        <rFont val="ＭＳ Ｐゴシック"/>
        <family val="3"/>
        <charset val="128"/>
      </rPr>
      <t>セルからK5セルまでの数式）</t>
    </r>
  </si>
  <si>
    <t>B(2t,2T)</t>
    <phoneticPr fontId="2" type="noConversion"/>
  </si>
  <si>
    <t>B(T,S)</t>
    <phoneticPr fontId="2" type="noConversion"/>
  </si>
  <si>
    <t>Factor</t>
    <phoneticPr fontId="2" type="noConversion"/>
  </si>
  <si>
    <t>日数</t>
  </si>
  <si>
    <t>支払日</t>
  </si>
  <si>
    <t>(365)</t>
    <phoneticPr fontId="2" type="noConversion"/>
  </si>
  <si>
    <t>Disc.</t>
    <phoneticPr fontId="2" type="noConversion"/>
  </si>
  <si>
    <t>付利</t>
    <rPh sb="0" eb="2">
      <t>ﾌﾘ</t>
    </rPh>
    <phoneticPr fontId="2" type="noConversion"/>
  </si>
  <si>
    <t>年</t>
    <rPh sb="0" eb="1">
      <t>ﾈﾝ</t>
    </rPh>
    <phoneticPr fontId="2" type="noConversion"/>
  </si>
  <si>
    <t>満期日</t>
  </si>
  <si>
    <t>WH σ</t>
    <phoneticPr fontId="2" type="noConversion"/>
  </si>
  <si>
    <t>行使価格</t>
    <rPh sb="0" eb="2">
      <t>ｺｳｼ</t>
    </rPh>
    <rPh sb="2" eb="4">
      <t>ｶｶｸ</t>
    </rPh>
    <phoneticPr fontId="2" type="noConversion"/>
  </si>
  <si>
    <t>額面</t>
    <rPh sb="0" eb="2">
      <t>ｶﾞｸﾒﾝ</t>
    </rPh>
    <phoneticPr fontId="2" type="noConversion"/>
  </si>
  <si>
    <t xml:space="preserve"> </t>
    <phoneticPr fontId="2" type="noConversion"/>
  </si>
  <si>
    <t>ﾚｰﾄ</t>
    <phoneticPr fontId="2" type="noConversion"/>
  </si>
  <si>
    <t>ﾌｫﾜｰﾄﾞ</t>
    <phoneticPr fontId="2" type="noConversion"/>
  </si>
  <si>
    <t>行使価格</t>
    <rPh sb="0" eb="2">
      <t>こうし</t>
    </rPh>
    <rPh sb="2" eb="4">
      <t>かかく</t>
    </rPh>
    <phoneticPr fontId="2" type="noConversion"/>
  </si>
  <si>
    <t>P(t, T)</t>
  </si>
  <si>
    <t>R(t, T)</t>
  </si>
  <si>
    <t>T</t>
  </si>
  <si>
    <t>alpha</t>
  </si>
  <si>
    <t>Hull White モデル イールドカーブ</t>
    <phoneticPr fontId="7"/>
  </si>
  <si>
    <t>=-(LN(B5/B4)+D5-C5*I2)/A5</t>
    <phoneticPr fontId="3"/>
  </si>
  <si>
    <t>=-(LN(B6/B4)+D6-C6*I2)/A6</t>
    <phoneticPr fontId="3"/>
  </si>
  <si>
    <t xml:space="preserve">  ( I列計算式 )</t>
    <rPh sb="5" eb="6">
      <t>レツ</t>
    </rPh>
    <rPh sb="6" eb="8">
      <t>ケイサン</t>
    </rPh>
    <rPh sb="8" eb="9">
      <t>シキ</t>
    </rPh>
    <phoneticPr fontId="3"/>
  </si>
  <si>
    <t xml:space="preserve"> ( 以下 同じ)</t>
    <rPh sb="3" eb="5">
      <t>イカ</t>
    </rPh>
    <rPh sb="6" eb="7">
      <t>オナ</t>
    </rPh>
    <phoneticPr fontId="3"/>
  </si>
  <si>
    <t>D24=AA(A4,A24,E2),   E24=B24/B4*EXP(D24-C24*F2)</t>
    <phoneticPr fontId="3"/>
  </si>
  <si>
    <t xml:space="preserve">C24=BB(A4,A24,E2)  </t>
    <phoneticPr fontId="3"/>
  </si>
  <si>
    <t xml:space="preserve">  (24行計算式)</t>
    <rPh sb="5" eb="6">
      <t>ギョウ</t>
    </rPh>
    <rPh sb="6" eb="8">
      <t>ケイサン</t>
    </rPh>
    <rPh sb="8" eb="9">
      <t>シキ</t>
    </rPh>
    <phoneticPr fontId="3"/>
  </si>
  <si>
    <t>ｷｬｯｼｭﾌﾛｰ</t>
    <phoneticPr fontId="7"/>
  </si>
  <si>
    <t>（ T列の 数式等 ）</t>
    <rPh sb="3" eb="4">
      <t>レツ</t>
    </rPh>
    <rPh sb="6" eb="8">
      <t>スウシキ</t>
    </rPh>
    <rPh sb="8" eb="9">
      <t>ナド</t>
    </rPh>
    <phoneticPr fontId="7"/>
  </si>
  <si>
    <t xml:space="preserve">T3セル式 = T16*1000000-&gt; </t>
    <rPh sb="4" eb="5">
      <t>シキ</t>
    </rPh>
    <phoneticPr fontId="7"/>
  </si>
  <si>
    <t>&lt;-F4セル式 =$F$3</t>
    <rPh sb="6" eb="7">
      <t>シキ</t>
    </rPh>
    <phoneticPr fontId="7"/>
  </si>
  <si>
    <t>&lt;-F5セル式 =$F$3</t>
    <rPh sb="6" eb="7">
      <t>シキ</t>
    </rPh>
    <phoneticPr fontId="7"/>
  </si>
  <si>
    <t>スワップ</t>
    <phoneticPr fontId="7"/>
  </si>
  <si>
    <t>割引債ベースの行使価格</t>
    <rPh sb="0" eb="2">
      <t>ワリビキ</t>
    </rPh>
    <rPh sb="2" eb="3">
      <t>サイ</t>
    </rPh>
    <rPh sb="7" eb="9">
      <t>コウシ</t>
    </rPh>
    <rPh sb="9" eb="11">
      <t>カカク</t>
    </rPh>
    <phoneticPr fontId="7"/>
  </si>
  <si>
    <t>WH</t>
    <phoneticPr fontId="7"/>
  </si>
  <si>
    <t>B(1, ti)</t>
    <phoneticPr fontId="7"/>
  </si>
  <si>
    <t>A(1, ti)</t>
    <phoneticPr fontId="7"/>
  </si>
  <si>
    <t>P(1, ti)</t>
    <phoneticPr fontId="7"/>
  </si>
  <si>
    <t>B(0,2*1)</t>
    <phoneticPr fontId="7"/>
  </si>
  <si>
    <t>d1</t>
    <phoneticPr fontId="7"/>
  </si>
  <si>
    <t>N(-d1)</t>
    <phoneticPr fontId="7"/>
  </si>
  <si>
    <t>N(-d2)</t>
    <phoneticPr fontId="7"/>
  </si>
  <si>
    <t>Put</t>
    <phoneticPr fontId="7"/>
  </si>
  <si>
    <t>Swaption</t>
    <phoneticPr fontId="7"/>
  </si>
  <si>
    <t>(数式は下セルに記載）</t>
    <rPh sb="1" eb="3">
      <t>スウシキ</t>
    </rPh>
    <rPh sb="4" eb="5">
      <t>シタ</t>
    </rPh>
    <rPh sb="8" eb="10">
      <t>キサイ</t>
    </rPh>
    <phoneticPr fontId="7"/>
  </si>
  <si>
    <t xml:space="preserve">  =B_(A7,A9)</t>
    <phoneticPr fontId="7"/>
  </si>
  <si>
    <t xml:space="preserve">  =A_(A7,A9)</t>
    <phoneticPr fontId="7"/>
  </si>
  <si>
    <t xml:space="preserve">   =B9/B7*W9*EXP(-V9*F9)</t>
    <phoneticPr fontId="7"/>
  </si>
  <si>
    <t xml:space="preserve">  =B_(A7,A11)</t>
    <phoneticPr fontId="7"/>
  </si>
  <si>
    <t xml:space="preserve">  =A_(A7,A11)</t>
    <phoneticPr fontId="7"/>
  </si>
  <si>
    <t xml:space="preserve">   =B11/B7*W11*EXP(-V11*F11)</t>
    <phoneticPr fontId="7"/>
  </si>
  <si>
    <t>カーブ</t>
    <phoneticPr fontId="7"/>
  </si>
  <si>
    <t>割引債の行使価格</t>
    <rPh sb="0" eb="2">
      <t>ワリビキ</t>
    </rPh>
    <rPh sb="2" eb="3">
      <t>サイ</t>
    </rPh>
    <rPh sb="4" eb="6">
      <t>コウシ</t>
    </rPh>
    <rPh sb="6" eb="8">
      <t>カカク</t>
    </rPh>
    <phoneticPr fontId="7"/>
  </si>
  <si>
    <t>WH σ</t>
    <phoneticPr fontId="7"/>
  </si>
  <si>
    <t>割引債</t>
    <rPh sb="0" eb="2">
      <t>ワリビキ</t>
    </rPh>
    <rPh sb="2" eb="3">
      <t>サイ</t>
    </rPh>
    <phoneticPr fontId="7"/>
  </si>
  <si>
    <t>プット価格</t>
    <rPh sb="3" eb="5">
      <t>カカク</t>
    </rPh>
    <phoneticPr fontId="7"/>
  </si>
  <si>
    <t>スワップション価格</t>
    <rPh sb="7" eb="9">
      <t>カカク</t>
    </rPh>
    <phoneticPr fontId="7"/>
  </si>
  <si>
    <t>B_(0,2)</t>
  </si>
  <si>
    <t>B_(1,3)^2</t>
  </si>
  <si>
    <t>Xt</t>
    <phoneticPr fontId="7"/>
  </si>
  <si>
    <t>Xt のシフト</t>
    <phoneticPr fontId="3"/>
  </si>
  <si>
    <t>Mar12'12</t>
    <phoneticPr fontId="7"/>
  </si>
  <si>
    <t>B(0, T)</t>
    <phoneticPr fontId="3"/>
  </si>
  <si>
    <t>A' (0, T)</t>
    <phoneticPr fontId="3"/>
  </si>
  <si>
    <t>AF17=AF15+0.3%*0.5*AF16*SUM(AF9:AF15)</t>
    <phoneticPr fontId="7"/>
  </si>
  <si>
    <t>割引債ボラティリティ</t>
    <rPh sb="0" eb="2">
      <t>ワリビキ</t>
    </rPh>
    <rPh sb="2" eb="3">
      <t>サイ</t>
    </rPh>
    <phoneticPr fontId="7"/>
  </si>
  <si>
    <t>(9行目の各セル 数式）</t>
    <rPh sb="2" eb="3">
      <t>ギョウ</t>
    </rPh>
    <rPh sb="3" eb="4">
      <t>メ</t>
    </rPh>
    <rPh sb="5" eb="6">
      <t>カク</t>
    </rPh>
    <phoneticPr fontId="3"/>
  </si>
  <si>
    <t>WHσ</t>
    <phoneticPr fontId="3"/>
  </si>
  <si>
    <t>(式) AF17*10^7 =&gt;</t>
    <rPh sb="1" eb="2">
      <t>シキ</t>
    </rPh>
    <phoneticPr fontId="3"/>
  </si>
  <si>
    <t>=B_(0,2)</t>
    <phoneticPr fontId="3"/>
  </si>
  <si>
    <t>=B_(1,3)^2</t>
    <phoneticPr fontId="3"/>
  </si>
  <si>
    <t>スワップ期間</t>
    <rPh sb="4" eb="6">
      <t>キカン</t>
    </rPh>
    <phoneticPr fontId="3"/>
  </si>
  <si>
    <t>T=1.0 ～ S=3.0</t>
    <phoneticPr fontId="3"/>
  </si>
  <si>
    <t>スワップションσ</t>
    <phoneticPr fontId="3"/>
  </si>
  <si>
    <t>DF1/(DF1-DF3)</t>
    <phoneticPr fontId="3"/>
  </si>
  <si>
    <t>DF 1年</t>
  </si>
  <si>
    <t>DF 3年</t>
  </si>
  <si>
    <t>割引債 σp(0,1,3)</t>
  </si>
  <si>
    <t>WH分散 σ^2</t>
  </si>
  <si>
    <t>=C5/(C5-C6)</t>
  </si>
  <si>
    <t>=0.5*C3^2*C9</t>
  </si>
  <si>
    <t>=(C10*C11)^0.5</t>
  </si>
  <si>
    <t>=C7*C12</t>
  </si>
  <si>
    <t>Gurrieri等(2009) “Calibration Methods of Hull-White Model” (式19 )</t>
  </si>
  <si>
    <t>(計算式)</t>
  </si>
  <si>
    <t>(* USD callbale 1.0%  *)</t>
  </si>
  <si>
    <t xml:space="preserve">open Callable; </t>
  </si>
  <si>
    <t>let face, cpn, ccy = 10M, 10M*1.0%, "USD" in</t>
  </si>
  <si>
    <t xml:space="preserve">let effc, call1, call2, mtry = </t>
  </si>
  <si>
    <t xml:space="preserve">  2016-01-05, 2017-01-05, 2018-01-05, 2019-01-05 in </t>
  </si>
  <si>
    <t>(* Bond cashflow *)</t>
  </si>
  <si>
    <t>let bondFlow = (</t>
  </si>
  <si>
    <t xml:space="preserve">  #   date     present value</t>
  </si>
  <si>
    <t xml:space="preserve">    ( call1, flow (call1, ccy, cpn) ),</t>
  </si>
  <si>
    <t xml:space="preserve">    ( call2, flow (call2, ccy, cpn) ),</t>
  </si>
  <si>
    <t xml:space="preserve">    ( mtry, flow (mtry, ccy, cpn) ),</t>
  </si>
  <si>
    <t xml:space="preserve">    ( mtry, flow (mtry, ccy, face) ),</t>
  </si>
  <si>
    <t>) in</t>
  </si>
  <si>
    <t xml:space="preserve">    </t>
  </si>
  <si>
    <t>(* pay face as callback *)</t>
  </si>
  <si>
    <t>let backFace( date ) = flow(date, ccy, face) in</t>
  </si>
  <si>
    <t>(* for American MC *)</t>
  </si>
  <si>
    <t>let ussw1 = market "USSW1 Index" in</t>
  </si>
  <si>
    <t xml:space="preserve">let regVar = ( ("ussw1", ussw1), ) in   </t>
  </si>
  <si>
    <t>let callCDR = (</t>
  </si>
  <si>
    <t xml:space="preserve"> # ntfy, settle, name, short, regrssn, onCall</t>
  </si>
  <si>
    <t xml:space="preserve">    (call1, call1, "call", true, regVar, call1 ),</t>
  </si>
  <si>
    <t xml:space="preserve">    (call2, call2, "call", true, regVar, call2 ),</t>
  </si>
  <si>
    <t xml:space="preserve"> ) in</t>
  </si>
  <si>
    <t>cancellable( bondFlow, callCDR, backFace )</t>
  </si>
  <si>
    <t>HW σ</t>
  </si>
  <si>
    <t>HWσ</t>
  </si>
  <si>
    <t>(満期時価格はヨーロピアンと同じ)</t>
    <rPh sb="1" eb="4">
      <t>マンキジ</t>
    </rPh>
    <rPh sb="4" eb="6">
      <t>カカク</t>
    </rPh>
    <rPh sb="14" eb="15">
      <t>オナ</t>
    </rPh>
    <phoneticPr fontId="1"/>
  </si>
  <si>
    <t>満期</t>
    <rPh sb="0" eb="2">
      <t>マンキ</t>
    </rPh>
    <phoneticPr fontId="1"/>
  </si>
  <si>
    <t>0.67年</t>
    <rPh sb="4" eb="5">
      <t>ネン</t>
    </rPh>
    <phoneticPr fontId="1"/>
  </si>
  <si>
    <t>0.33年</t>
    <rPh sb="4" eb="5">
      <t>ネン</t>
    </rPh>
    <phoneticPr fontId="1"/>
  </si>
  <si>
    <t>現在</t>
    <rPh sb="0" eb="2">
      <t>ゲンザイ</t>
    </rPh>
    <phoneticPr fontId="1"/>
  </si>
  <si>
    <t>Put期待値</t>
    <rPh sb="3" eb="5">
      <t>キタイ</t>
    </rPh>
    <rPh sb="5" eb="6">
      <t>チ</t>
    </rPh>
    <phoneticPr fontId="1"/>
  </si>
  <si>
    <t>=MAX(100-H20,0)</t>
    <phoneticPr fontId="1"/>
  </si>
  <si>
    <t>行使価値</t>
    <rPh sb="0" eb="2">
      <t>コウシ</t>
    </rPh>
    <rPh sb="2" eb="4">
      <t>カチ</t>
    </rPh>
    <phoneticPr fontId="1"/>
  </si>
  <si>
    <t>=F18*H4</t>
    <phoneticPr fontId="1"/>
  </si>
  <si>
    <t>N19=MAX(N20,N21)</t>
    <phoneticPr fontId="1"/>
  </si>
  <si>
    <t>F19=(H17*L2+H21*L3)/H2</t>
    <phoneticPr fontId="1"/>
  </si>
  <si>
    <t xml:space="preserve">     F19*L3)/H2</t>
    <phoneticPr fontId="1"/>
  </si>
  <si>
    <t>=MAX(100-H16,0)</t>
    <phoneticPr fontId="1"/>
  </si>
  <si>
    <t>D17=(F15*L2+</t>
    <phoneticPr fontId="1"/>
  </si>
  <si>
    <t>=F14*H4</t>
    <phoneticPr fontId="1"/>
  </si>
  <si>
    <t>=MAX(100-H12,0)</t>
    <phoneticPr fontId="1"/>
  </si>
  <si>
    <t>=F10*H4</t>
    <phoneticPr fontId="1"/>
  </si>
  <si>
    <t>=MAX(100-H8,0)</t>
    <phoneticPr fontId="1"/>
  </si>
  <si>
    <t>(下段ﾌﾟｯﾄ)</t>
    <rPh sb="1" eb="3">
      <t>ゲダン</t>
    </rPh>
    <phoneticPr fontId="1"/>
  </si>
  <si>
    <t>=F10*H3</t>
    <phoneticPr fontId="1"/>
  </si>
  <si>
    <t>(上段 株価)</t>
    <rPh sb="1" eb="3">
      <t>ジョウダン</t>
    </rPh>
    <rPh sb="4" eb="6">
      <t>カブカ</t>
    </rPh>
    <phoneticPr fontId="1"/>
  </si>
  <si>
    <t>アメリカン プット</t>
    <phoneticPr fontId="1"/>
  </si>
  <si>
    <t>ヨーロピアン プット</t>
    <phoneticPr fontId="1"/>
  </si>
  <si>
    <t xml:space="preserve">         (金利は5%, ボラティリティは20%を使用)</t>
    <rPh sb="10" eb="12">
      <t>キンリ</t>
    </rPh>
    <rPh sb="29" eb="31">
      <t>シヨウ</t>
    </rPh>
    <phoneticPr fontId="1"/>
  </si>
  <si>
    <t>=1/H3</t>
    <phoneticPr fontId="1"/>
  </si>
  <si>
    <t>下落率</t>
    <rPh sb="0" eb="2">
      <t>ゲラク</t>
    </rPh>
    <rPh sb="2" eb="3">
      <t>リツ</t>
    </rPh>
    <phoneticPr fontId="1"/>
  </si>
  <si>
    <t>年数の平方根</t>
  </si>
  <si>
    <t>=1-L2</t>
    <phoneticPr fontId="1"/>
  </si>
  <si>
    <t>下落確率</t>
    <rPh sb="0" eb="2">
      <t>ゲラク</t>
    </rPh>
    <rPh sb="2" eb="4">
      <t>カクリツ</t>
    </rPh>
    <phoneticPr fontId="1"/>
  </si>
  <si>
    <t>=EXP(20%*D4)</t>
    <phoneticPr fontId="1"/>
  </si>
  <si>
    <t>上昇率</t>
    <rPh sb="0" eb="2">
      <t>ジョウショウ</t>
    </rPh>
    <rPh sb="2" eb="3">
      <t>リツ</t>
    </rPh>
    <phoneticPr fontId="1"/>
  </si>
  <si>
    <t>1ｽﾃｯﾌﾟの年数</t>
  </si>
  <si>
    <t>=(H2-H4)/(H3-H4)</t>
    <phoneticPr fontId="1"/>
  </si>
  <si>
    <t>上昇確率</t>
    <rPh sb="0" eb="2">
      <t>ジョウショウ</t>
    </rPh>
    <rPh sb="2" eb="4">
      <t>カクリツ</t>
    </rPh>
    <phoneticPr fontId="1"/>
  </si>
  <si>
    <t>=EXP(5%*D3)</t>
    <phoneticPr fontId="1"/>
  </si>
  <si>
    <t>ﾌｫﾜｰﾄﾞ率</t>
    <rPh sb="6" eb="7">
      <t>リツ</t>
    </rPh>
    <phoneticPr fontId="1"/>
  </si>
  <si>
    <t>ステップ数</t>
    <rPh sb="4" eb="5">
      <t>スウ</t>
    </rPh>
    <phoneticPr fontId="1"/>
  </si>
  <si>
    <t xml:space="preserve">( L列 数式  )            </t>
    <rPh sb="3" eb="4">
      <t>レツ</t>
    </rPh>
    <rPh sb="5" eb="7">
      <t>スウシキ</t>
    </rPh>
    <phoneticPr fontId="1"/>
  </si>
  <si>
    <t xml:space="preserve">( H列 数式  )         </t>
    <rPh sb="3" eb="4">
      <t>レツ</t>
    </rPh>
    <rPh sb="5" eb="7">
      <t>スウシキ</t>
    </rPh>
    <phoneticPr fontId="1"/>
  </si>
  <si>
    <t>満期年</t>
    <rPh sb="0" eb="2">
      <t>マンキ</t>
    </rPh>
    <rPh sb="2" eb="3">
      <t>ネン</t>
    </rPh>
    <phoneticPr fontId="1"/>
  </si>
  <si>
    <r>
      <t xml:space="preserve">C26:E26 = </t>
    </r>
    <r>
      <rPr>
        <sz val="8"/>
        <rFont val="ＭＳ Ｐゴシック"/>
        <family val="3"/>
        <charset val="128"/>
      </rPr>
      <t>ｌ</t>
    </r>
    <r>
      <rPr>
        <sz val="8"/>
        <rFont val="Arial"/>
        <family val="2"/>
      </rPr>
      <t>inest(B17:B24,C17:D24)</t>
    </r>
  </si>
  <si>
    <t>係数</t>
    <rPh sb="0" eb="2">
      <t>ケイスウ</t>
    </rPh>
    <phoneticPr fontId="2"/>
  </si>
  <si>
    <t>a</t>
    <phoneticPr fontId="2"/>
  </si>
  <si>
    <t>b</t>
    <phoneticPr fontId="2"/>
  </si>
  <si>
    <t>c</t>
    <phoneticPr fontId="2"/>
  </si>
  <si>
    <t>ﾊﾞﾐｭｰﾀﾞﾝ</t>
    <phoneticPr fontId="2"/>
  </si>
  <si>
    <t>継続 -</t>
    <rPh sb="0" eb="2">
      <t>ケイゾク</t>
    </rPh>
    <phoneticPr fontId="2"/>
  </si>
  <si>
    <t>行使価値</t>
    <rPh sb="0" eb="2">
      <t>コウシ</t>
    </rPh>
    <rPh sb="2" eb="4">
      <t>カチ</t>
    </rPh>
    <phoneticPr fontId="2"/>
  </si>
  <si>
    <t>の推定値</t>
    <rPh sb="1" eb="4">
      <t>スイテイチ</t>
    </rPh>
    <phoneticPr fontId="2"/>
  </si>
  <si>
    <t>X^2</t>
    <phoneticPr fontId="2"/>
  </si>
  <si>
    <r>
      <t>X(</t>
    </r>
    <r>
      <rPr>
        <sz val="10"/>
        <rFont val="ＭＳ Ｐゴシック"/>
        <family val="3"/>
        <charset val="128"/>
      </rPr>
      <t>乱数</t>
    </r>
    <r>
      <rPr>
        <sz val="10"/>
        <rFont val="Arial"/>
        <family val="2"/>
      </rPr>
      <t>)</t>
    </r>
  </si>
  <si>
    <r>
      <t>Y(</t>
    </r>
    <r>
      <rPr>
        <sz val="10"/>
        <rFont val="ＭＳ Ｐゴシック"/>
        <family val="3"/>
        <charset val="128"/>
      </rPr>
      <t>ﾊﾞﾐｭｰﾀﾞﾝ</t>
    </r>
    <r>
      <rPr>
        <sz val="10"/>
        <rFont val="Arial"/>
        <family val="2"/>
      </rPr>
      <t>)</t>
    </r>
  </si>
  <si>
    <t>行使 ○</t>
    <rPh sb="0" eb="2">
      <t>コウシ</t>
    </rPh>
    <phoneticPr fontId="2"/>
  </si>
  <si>
    <t>継続価値</t>
    <rPh sb="0" eb="2">
      <t>ケイゾク</t>
    </rPh>
    <rPh sb="2" eb="4">
      <t>カチ</t>
    </rPh>
    <phoneticPr fontId="2"/>
  </si>
  <si>
    <t>各シナリオの行使価値</t>
  </si>
  <si>
    <t>各シナリオのブラウン運動の乱数</t>
    <rPh sb="0" eb="1">
      <t>カク</t>
    </rPh>
    <rPh sb="10" eb="12">
      <t>ウンドウ</t>
    </rPh>
    <rPh sb="13" eb="15">
      <t>ランスウ</t>
    </rPh>
    <phoneticPr fontId="2"/>
  </si>
  <si>
    <t>=AVERAGE(H17:H24)</t>
  </si>
  <si>
    <t>Floorlet</t>
    <phoneticPr fontId="2" type="noConversion"/>
  </si>
  <si>
    <t>Floor</t>
    <phoneticPr fontId="2" type="noConversion"/>
  </si>
  <si>
    <t>Hull-White Model</t>
    <phoneticPr fontId="2" type="noConversion"/>
  </si>
  <si>
    <r>
      <t xml:space="preserve">ﾉｰﾏﾙ </t>
    </r>
    <r>
      <rPr>
        <sz val="10"/>
        <rFont val="Arial"/>
        <family val="2"/>
      </rPr>
      <t xml:space="preserve">σ </t>
    </r>
    <phoneticPr fontId="3"/>
  </si>
  <si>
    <t>d</t>
    <phoneticPr fontId="3"/>
  </si>
  <si>
    <r>
      <t>σ</t>
    </r>
    <r>
      <rPr>
        <sz val="10"/>
        <rFont val="ＭＳ Ｐゴシック"/>
        <family val="3"/>
        <charset val="128"/>
      </rPr>
      <t>√</t>
    </r>
    <r>
      <rPr>
        <sz val="10"/>
        <rFont val="Arial"/>
        <family val="2"/>
      </rPr>
      <t>T</t>
    </r>
  </si>
  <si>
    <t>Normal</t>
    <phoneticPr fontId="2" type="noConversion"/>
  </si>
  <si>
    <t>core</t>
    <phoneticPr fontId="3"/>
  </si>
  <si>
    <t>Floorlet</t>
    <phoneticPr fontId="3"/>
  </si>
  <si>
    <t>Floor</t>
    <phoneticPr fontId="3"/>
  </si>
  <si>
    <t>Hull-White Floor</t>
    <phoneticPr fontId="2" type="noConversion"/>
  </si>
  <si>
    <t xml:space="preserve">Floor  </t>
    <phoneticPr fontId="2" type="noConversion"/>
  </si>
  <si>
    <t>=( (1+B2*D5/365)*E6 * NORMSDIST(I5) - E5*NORMSDIST(J5) )*A2</t>
    <phoneticPr fontId="2" type="noConversion"/>
  </si>
  <si>
    <t>=LN( (1+B2*D5/365) * E6/E5)/H5 + H5/2</t>
    <phoneticPr fontId="2" type="noConversion"/>
  </si>
  <si>
    <t>=BB(B5,B6)</t>
    <phoneticPr fontId="2" type="noConversion"/>
  </si>
  <si>
    <t>=BB(0,2*B5)</t>
    <phoneticPr fontId="2" type="noConversion"/>
  </si>
  <si>
    <t>errors</t>
  </si>
  <si>
    <t>HW-Nrml</t>
    <phoneticPr fontId="2" type="noConversion"/>
  </si>
  <si>
    <r>
      <t>T</t>
    </r>
    <r>
      <rPr>
        <sz val="9"/>
        <rFont val="ＭＳ Ｐゴシック"/>
        <family val="3"/>
        <charset val="128"/>
      </rPr>
      <t>列 数式</t>
    </r>
  </si>
  <si>
    <t>=((K5-S5)/S5)^2</t>
    <phoneticPr fontId="2" type="noConversion"/>
  </si>
  <si>
    <t>=((K6-S6)/S6)^2</t>
    <phoneticPr fontId="2" type="noConversion"/>
  </si>
  <si>
    <t>=((K7-S7)/S7)^2</t>
    <phoneticPr fontId="2" type="noConversion"/>
  </si>
  <si>
    <t>=SQRT(SUM(U5:U7))</t>
    <phoneticPr fontId="2" type="noConversion"/>
  </si>
  <si>
    <t>Aug19,22</t>
  </si>
  <si>
    <t>Aug19,22</t>
    <phoneticPr fontId="7"/>
  </si>
  <si>
    <t>Tiborカーブ</t>
    <phoneticPr fontId="7"/>
  </si>
  <si>
    <t>t</t>
  </si>
  <si>
    <t>6m Tibor</t>
    <phoneticPr fontId="7"/>
  </si>
  <si>
    <t>B(0T)</t>
    <phoneticPr fontId="3"/>
  </si>
  <si>
    <t>A(0T)</t>
    <phoneticPr fontId="3"/>
  </si>
  <si>
    <t>R(0T)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</si>
</sst>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 * #,##0.00_ ;_ * \-#,##0.00_ ;_ * &quot;-&quot;??_ ;_ @_ "/>
    <numFmt numFmtId="176" formatCode="_-* #,##0_-;\-* #,##0_-;_-* &quot;-&quot;_-;_-@_-"/>
    <numFmt numFmtId="177" formatCode="0.00000"/>
    <numFmt numFmtId="178" formatCode="0.0000%"/>
    <numFmt numFmtId="179" formatCode="0.000"/>
    <numFmt numFmtId="180" formatCode="0.00_ "/>
    <numFmt numFmtId="181" formatCode="0.0"/>
    <numFmt numFmtId="182" formatCode="0.00000_ "/>
    <numFmt numFmtId="183" formatCode="0.000%"/>
    <numFmt numFmtId="184" formatCode="0.000000%"/>
    <numFmt numFmtId="185" formatCode="0.0000_ "/>
    <numFmt numFmtId="186" formatCode="0.00000%"/>
    <numFmt numFmtId="187" formatCode="0.0%\ \F\l\a\t"/>
    <numFmt numFmtId="188" formatCode="0.000000_ "/>
    <numFmt numFmtId="189" formatCode="0.00%\ \F\i\x"/>
    <numFmt numFmtId="190" formatCode="0.000000000000000_);[Red]\(0.000000000000000\)"/>
    <numFmt numFmtId="191" formatCode="_-* #,##0.000_-;\-* #,##0.000_-;_-* &quot;-&quot;??_-;_-@_-"/>
    <numFmt numFmtId="192" formatCode="0.0000"/>
    <numFmt numFmtId="193" formatCode="_ * #,##0_ ;_ * \-#,##0_ ;_ * &quot;-&quot;??_ ;_ @_ "/>
    <numFmt numFmtId="194" formatCode="_ * #,##0.000_ ;_ * \-#,##0.000_ ;_ * &quot;-&quot;??_ ;_ @_ "/>
    <numFmt numFmtId="195" formatCode="0.0%"/>
    <numFmt numFmtId="196" formatCode="0.0_ "/>
    <numFmt numFmtId="197" formatCode="0.000_ "/>
    <numFmt numFmtId="198" formatCode="0.00000000000000000_ "/>
    <numFmt numFmtId="199" formatCode="0_ "/>
    <numFmt numFmtId="200" formatCode="_ * #,##0.00000_ ;_ * \-#,##0.00000_ ;_ * &quot;-&quot;??_ ;_ @_ "/>
    <numFmt numFmtId="201" formatCode="_ * #,##0.000000_ ;_ * \-#,##0.000000_ ;_ * &quot;-&quot;??_ ;_ @_ "/>
    <numFmt numFmtId="202" formatCode="_-* #,##0.00_-;\-* #,##0.00_-;_-* &quot;-&quot;_-;_-@_-"/>
  </numFmts>
  <fonts count="43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0"/>
      <color theme="1"/>
      <name val="Arial Unicode MS"/>
      <family val="3"/>
      <charset val="128"/>
    </font>
    <font>
      <sz val="10"/>
      <color theme="1"/>
      <name val="Arial Unicode MS"/>
      <family val="3"/>
      <charset val="128"/>
    </font>
    <font>
      <vertAlign val="subscript"/>
      <sz val="10"/>
      <color theme="1"/>
      <name val="Arial Unicode MS"/>
      <family val="3"/>
      <charset val="128"/>
    </font>
    <font>
      <sz val="8"/>
      <color theme="1"/>
      <name val="Arial Unicode MS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name val="Arial Unicode MS"/>
      <family val="3"/>
      <charset val="128"/>
    </font>
    <font>
      <sz val="8"/>
      <name val="Arial Unicode MS"/>
      <family val="3"/>
      <charset val="128"/>
    </font>
    <font>
      <i/>
      <sz val="9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theme="1"/>
      <name val="Arial Unicode MS"/>
      <family val="2"/>
      <charset val="128"/>
    </font>
    <font>
      <sz val="8"/>
      <color theme="1"/>
      <name val="Arial Unicode MS"/>
      <family val="2"/>
      <charset val="128"/>
    </font>
    <font>
      <u/>
      <sz val="8"/>
      <color theme="1"/>
      <name val="Arial Unicode MS"/>
      <family val="2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8"/>
      <name val="ＭＳ Ｐゴシック"/>
      <family val="3"/>
      <charset val="128"/>
    </font>
    <font>
      <i/>
      <sz val="10"/>
      <name val="Arial"/>
      <family val="2"/>
    </font>
    <font>
      <i/>
      <sz val="10"/>
      <name val="ＭＳ Ｐゴシック"/>
      <family val="3"/>
      <charset val="128"/>
    </font>
    <font>
      <sz val="9"/>
      <name val="Arial Unicode MS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56">
    <xf numFmtId="0" fontId="0" fillId="0" borderId="0"/>
    <xf numFmtId="9" fontId="2" fillId="0" borderId="0" applyFont="0" applyFill="0" applyBorder="0" applyAlignment="0" applyProtection="0">
      <alignment vertical="center"/>
    </xf>
    <xf numFmtId="0" fontId="8" fillId="0" borderId="0"/>
    <xf numFmtId="17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76" fontId="2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7" borderId="10" applyNumberFormat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11" applyNumberFormat="0" applyFont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9" fillId="30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3" fillId="0" borderId="1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17" applyNumberFormat="0" applyFill="0" applyAlignment="0" applyProtection="0">
      <alignment vertical="center"/>
    </xf>
    <xf numFmtId="0" fontId="35" fillId="30" borderId="18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14" borderId="13" applyNumberFormat="0" applyAlignment="0" applyProtection="0">
      <alignment vertical="center"/>
    </xf>
    <xf numFmtId="0" fontId="11" fillId="0" borderId="0" applyNumberFormat="0"/>
    <xf numFmtId="0" fontId="26" fillId="0" borderId="0">
      <alignment vertical="center"/>
    </xf>
    <xf numFmtId="0" fontId="38" fillId="11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</cellStyleXfs>
  <cellXfs count="381">
    <xf numFmtId="0" fontId="0" fillId="0" borderId="0" xfId="0"/>
    <xf numFmtId="0" fontId="4" fillId="0" borderId="0" xfId="0" applyFont="1"/>
    <xf numFmtId="0" fontId="5" fillId="0" borderId="0" xfId="0" applyFont="1"/>
    <xf numFmtId="10" fontId="5" fillId="0" borderId="0" xfId="0" applyNumberFormat="1" applyFont="1"/>
    <xf numFmtId="0" fontId="5" fillId="0" borderId="0" xfId="0" applyFont="1" applyAlignment="1">
      <alignment horizontal="right"/>
    </xf>
    <xf numFmtId="178" fontId="5" fillId="0" borderId="0" xfId="1" applyNumberFormat="1" applyFont="1" applyAlignment="1"/>
    <xf numFmtId="178" fontId="5" fillId="0" borderId="0" xfId="0" applyNumberFormat="1" applyFont="1"/>
    <xf numFmtId="0" fontId="5" fillId="0" borderId="0" xfId="0" applyFont="1" applyAlignment="1">
      <alignment horizontal="center"/>
    </xf>
    <xf numFmtId="10" fontId="5" fillId="0" borderId="0" xfId="0" applyNumberFormat="1" applyFont="1" applyAlignment="1">
      <alignment horizontal="left"/>
    </xf>
    <xf numFmtId="179" fontId="5" fillId="0" borderId="0" xfId="0" applyNumberFormat="1" applyFont="1" applyAlignment="1">
      <alignment horizontal="center"/>
    </xf>
    <xf numFmtId="177" fontId="5" fillId="0" borderId="0" xfId="0" applyNumberFormat="1" applyFont="1" applyAlignment="1">
      <alignment horizontal="center"/>
    </xf>
    <xf numFmtId="10" fontId="5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/>
    </xf>
    <xf numFmtId="180" fontId="5" fillId="0" borderId="0" xfId="0" applyNumberFormat="1" applyFont="1" applyAlignment="1">
      <alignment horizontal="left"/>
    </xf>
    <xf numFmtId="181" fontId="5" fillId="0" borderId="0" xfId="0" applyNumberFormat="1" applyFont="1" applyAlignment="1">
      <alignment horizontal="center"/>
    </xf>
    <xf numFmtId="0" fontId="7" fillId="0" borderId="0" xfId="0" quotePrefix="1" applyFont="1"/>
    <xf numFmtId="0" fontId="7" fillId="0" borderId="1" xfId="0" applyFont="1" applyBorder="1"/>
    <xf numFmtId="0" fontId="7" fillId="0" borderId="0" xfId="0" applyFont="1" applyAlignment="1">
      <alignment horizontal="center"/>
    </xf>
    <xf numFmtId="0" fontId="9" fillId="0" borderId="0" xfId="2" applyFont="1"/>
    <xf numFmtId="0" fontId="10" fillId="0" borderId="0" xfId="2" applyFont="1"/>
    <xf numFmtId="0" fontId="10" fillId="0" borderId="0" xfId="2" applyFont="1" applyAlignment="1">
      <alignment horizontal="center"/>
    </xf>
    <xf numFmtId="0" fontId="10" fillId="0" borderId="0" xfId="2" applyFont="1" applyAlignment="1">
      <alignment horizontal="right"/>
    </xf>
    <xf numFmtId="182" fontId="9" fillId="2" borderId="0" xfId="2" applyNumberFormat="1" applyFont="1" applyFill="1" applyAlignment="1">
      <alignment horizontal="center"/>
    </xf>
    <xf numFmtId="180" fontId="9" fillId="2" borderId="0" xfId="3" applyNumberFormat="1" applyFont="1" applyFill="1" applyBorder="1" applyAlignment="1">
      <alignment horizontal="center"/>
    </xf>
    <xf numFmtId="183" fontId="9" fillId="0" borderId="0" xfId="4" applyNumberFormat="1" applyFont="1" applyFill="1" applyBorder="1" applyAlignment="1">
      <alignment horizontal="center"/>
    </xf>
    <xf numFmtId="184" fontId="10" fillId="0" borderId="0" xfId="4" applyNumberFormat="1" applyFont="1" applyFill="1" applyBorder="1" applyAlignment="1">
      <alignment vertical="center"/>
    </xf>
    <xf numFmtId="178" fontId="9" fillId="0" borderId="0" xfId="4" applyNumberFormat="1" applyFont="1" applyFill="1" applyBorder="1" applyAlignment="1">
      <alignment vertical="center"/>
    </xf>
    <xf numFmtId="184" fontId="10" fillId="0" borderId="0" xfId="4" applyNumberFormat="1" applyFont="1" applyBorder="1"/>
    <xf numFmtId="178" fontId="9" fillId="0" borderId="0" xfId="4" applyNumberFormat="1" applyFont="1" applyBorder="1"/>
    <xf numFmtId="185" fontId="9" fillId="0" borderId="0" xfId="2" quotePrefix="1" applyNumberFormat="1" applyFont="1" applyAlignment="1">
      <alignment horizontal="right"/>
    </xf>
    <xf numFmtId="186" fontId="10" fillId="0" borderId="0" xfId="4" applyNumberFormat="1" applyFont="1" applyFill="1" applyBorder="1" applyAlignment="1">
      <alignment horizontal="center"/>
    </xf>
    <xf numFmtId="178" fontId="9" fillId="0" borderId="0" xfId="4" applyNumberFormat="1" applyFont="1" applyFill="1" applyBorder="1"/>
    <xf numFmtId="182" fontId="9" fillId="0" borderId="0" xfId="2" applyNumberFormat="1" applyFont="1" applyAlignment="1">
      <alignment horizontal="center"/>
    </xf>
    <xf numFmtId="180" fontId="9" fillId="3" borderId="0" xfId="3" applyNumberFormat="1" applyFont="1" applyFill="1" applyBorder="1" applyAlignment="1">
      <alignment horizontal="center"/>
    </xf>
    <xf numFmtId="180" fontId="9" fillId="0" borderId="0" xfId="3" applyNumberFormat="1" applyFont="1" applyBorder="1" applyAlignment="1">
      <alignment horizontal="center"/>
    </xf>
    <xf numFmtId="184" fontId="10" fillId="0" borderId="0" xfId="4" applyNumberFormat="1" applyFont="1" applyFill="1" applyBorder="1"/>
    <xf numFmtId="180" fontId="9" fillId="0" borderId="0" xfId="3" applyNumberFormat="1" applyFont="1" applyFill="1" applyBorder="1" applyAlignment="1">
      <alignment horizontal="center"/>
    </xf>
    <xf numFmtId="183" fontId="9" fillId="0" borderId="0" xfId="4" applyNumberFormat="1" applyFont="1" applyFill="1" applyBorder="1" applyAlignment="1">
      <alignment horizontal="center" vertical="center"/>
    </xf>
    <xf numFmtId="184" fontId="10" fillId="0" borderId="0" xfId="4" quotePrefix="1" applyNumberFormat="1" applyFont="1" applyBorder="1"/>
    <xf numFmtId="184" fontId="10" fillId="0" borderId="0" xfId="4" quotePrefix="1" applyNumberFormat="1" applyFont="1" applyFill="1" applyBorder="1" applyAlignment="1">
      <alignment vertical="center"/>
    </xf>
    <xf numFmtId="178" fontId="9" fillId="4" borderId="0" xfId="4" applyNumberFormat="1" applyFont="1" applyFill="1" applyBorder="1" applyAlignment="1">
      <alignment vertical="center"/>
    </xf>
    <xf numFmtId="178" fontId="9" fillId="4" borderId="0" xfId="4" applyNumberFormat="1" applyFont="1" applyFill="1" applyBorder="1"/>
    <xf numFmtId="186" fontId="10" fillId="0" borderId="0" xfId="4" quotePrefix="1" applyNumberFormat="1" applyFont="1" applyFill="1" applyBorder="1" applyAlignment="1">
      <alignment horizontal="center"/>
    </xf>
    <xf numFmtId="0" fontId="9" fillId="0" borderId="0" xfId="2" applyFont="1" applyAlignment="1">
      <alignment horizontal="center"/>
    </xf>
    <xf numFmtId="187" fontId="10" fillId="0" borderId="1" xfId="4" applyNumberFormat="1" applyFont="1" applyFill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/>
    </xf>
    <xf numFmtId="187" fontId="9" fillId="0" borderId="2" xfId="4" applyNumberFormat="1" applyFont="1" applyFill="1" applyBorder="1" applyAlignment="1">
      <alignment horizontal="center" vertical="center"/>
    </xf>
    <xf numFmtId="2" fontId="9" fillId="0" borderId="0" xfId="3" applyNumberFormat="1" applyFont="1" applyFill="1" applyBorder="1" applyAlignment="1">
      <alignment horizontal="center" vertical="center"/>
    </xf>
    <xf numFmtId="0" fontId="9" fillId="0" borderId="0" xfId="2" applyFont="1" applyAlignment="1">
      <alignment horizontal="right"/>
    </xf>
    <xf numFmtId="182" fontId="9" fillId="0" borderId="0" xfId="2" applyNumberFormat="1" applyFont="1" applyAlignment="1">
      <alignment horizontal="left"/>
    </xf>
    <xf numFmtId="182" fontId="9" fillId="0" borderId="0" xfId="2" applyNumberFormat="1" applyFont="1"/>
    <xf numFmtId="188" fontId="9" fillId="0" borderId="0" xfId="2" applyNumberFormat="1" applyFont="1"/>
    <xf numFmtId="178" fontId="9" fillId="0" borderId="0" xfId="4" applyNumberFormat="1" applyFont="1" applyFill="1" applyBorder="1" applyAlignment="1">
      <alignment horizontal="center"/>
    </xf>
    <xf numFmtId="183" fontId="9" fillId="0" borderId="0" xfId="4" applyNumberFormat="1" applyFont="1" applyFill="1" applyBorder="1"/>
    <xf numFmtId="183" fontId="9" fillId="0" borderId="0" xfId="4" applyNumberFormat="1" applyFont="1" applyFill="1" applyBorder="1" applyAlignment="1">
      <alignment horizontal="right"/>
    </xf>
    <xf numFmtId="183" fontId="9" fillId="0" borderId="0" xfId="4" applyNumberFormat="1" applyFont="1" applyBorder="1"/>
    <xf numFmtId="183" fontId="9" fillId="0" borderId="0" xfId="4" applyNumberFormat="1" applyFont="1" applyBorder="1" applyAlignment="1">
      <alignment horizontal="right"/>
    </xf>
    <xf numFmtId="183" fontId="10" fillId="0" borderId="0" xfId="4" applyNumberFormat="1" applyFont="1" applyFill="1" applyBorder="1"/>
    <xf numFmtId="182" fontId="10" fillId="0" borderId="0" xfId="2" applyNumberFormat="1" applyFont="1"/>
    <xf numFmtId="182" fontId="10" fillId="0" borderId="0" xfId="2" quotePrefix="1" applyNumberFormat="1" applyFont="1" applyAlignment="1">
      <alignment horizontal="center"/>
    </xf>
    <xf numFmtId="183" fontId="10" fillId="0" borderId="0" xfId="4" quotePrefix="1" applyNumberFormat="1" applyFont="1" applyFill="1" applyBorder="1"/>
    <xf numFmtId="183" fontId="9" fillId="4" borderId="0" xfId="4" applyNumberFormat="1" applyFont="1" applyFill="1" applyBorder="1" applyAlignment="1">
      <alignment horizontal="right"/>
    </xf>
    <xf numFmtId="182" fontId="10" fillId="0" borderId="0" xfId="2" quotePrefix="1" applyNumberFormat="1" applyFont="1"/>
    <xf numFmtId="182" fontId="9" fillId="4" borderId="0" xfId="2" applyNumberFormat="1" applyFont="1" applyFill="1"/>
    <xf numFmtId="178" fontId="9" fillId="0" borderId="0" xfId="4" applyNumberFormat="1" applyFont="1" applyFill="1" applyBorder="1" applyAlignment="1">
      <alignment horizontal="center" vertical="center"/>
    </xf>
    <xf numFmtId="182" fontId="9" fillId="0" borderId="1" xfId="2" applyNumberFormat="1" applyFont="1" applyBorder="1" applyAlignment="1">
      <alignment horizontal="left"/>
    </xf>
    <xf numFmtId="0" fontId="10" fillId="0" borderId="1" xfId="2" applyFont="1" applyBorder="1" applyAlignment="1">
      <alignment horizontal="center"/>
    </xf>
    <xf numFmtId="0" fontId="9" fillId="0" borderId="1" xfId="2" applyFont="1" applyBorder="1" applyAlignment="1">
      <alignment horizontal="right"/>
    </xf>
    <xf numFmtId="189" fontId="9" fillId="0" borderId="1" xfId="4" applyNumberFormat="1" applyFont="1" applyFill="1" applyBorder="1" applyAlignment="1">
      <alignment horizontal="center" vertical="center"/>
    </xf>
    <xf numFmtId="0" fontId="10" fillId="0" borderId="0" xfId="2" quotePrefix="1" applyFont="1"/>
    <xf numFmtId="182" fontId="9" fillId="0" borderId="3" xfId="2" applyNumberFormat="1" applyFont="1" applyBorder="1" applyAlignment="1">
      <alignment horizontal="center"/>
    </xf>
    <xf numFmtId="182" fontId="9" fillId="0" borderId="3" xfId="2" applyNumberFormat="1" applyFont="1" applyBorder="1" applyAlignment="1">
      <alignment horizontal="right"/>
    </xf>
    <xf numFmtId="0" fontId="9" fillId="0" borderId="3" xfId="2" applyFont="1" applyBorder="1"/>
    <xf numFmtId="182" fontId="9" fillId="0" borderId="1" xfId="2" applyNumberFormat="1" applyFont="1" applyBorder="1"/>
    <xf numFmtId="188" fontId="10" fillId="0" borderId="0" xfId="2" applyNumberFormat="1" applyFont="1"/>
    <xf numFmtId="188" fontId="10" fillId="0" borderId="0" xfId="2" quotePrefix="1" applyNumberFormat="1" applyFont="1"/>
    <xf numFmtId="182" fontId="9" fillId="4" borderId="0" xfId="2" applyNumberFormat="1" applyFont="1" applyFill="1" applyAlignment="1">
      <alignment horizontal="center"/>
    </xf>
    <xf numFmtId="188" fontId="9" fillId="4" borderId="0" xfId="2" applyNumberFormat="1" applyFont="1" applyFill="1"/>
    <xf numFmtId="183" fontId="10" fillId="0" borderId="0" xfId="4" applyNumberFormat="1" applyFont="1" applyFill="1" applyBorder="1" applyAlignment="1">
      <alignment horizontal="center"/>
    </xf>
    <xf numFmtId="189" fontId="9" fillId="0" borderId="0" xfId="4" applyNumberFormat="1" applyFont="1" applyFill="1" applyBorder="1" applyAlignment="1">
      <alignment horizontal="center" vertical="center"/>
    </xf>
    <xf numFmtId="189" fontId="9" fillId="4" borderId="1" xfId="4" applyNumberFormat="1" applyFont="1" applyFill="1" applyBorder="1" applyAlignment="1">
      <alignment horizontal="center" vertical="center"/>
    </xf>
    <xf numFmtId="0" fontId="11" fillId="0" borderId="0" xfId="5"/>
    <xf numFmtId="0" fontId="9" fillId="0" borderId="0" xfId="2" quotePrefix="1" applyFont="1"/>
    <xf numFmtId="188" fontId="11" fillId="0" borderId="0" xfId="5" applyNumberFormat="1"/>
    <xf numFmtId="180" fontId="9" fillId="4" borderId="0" xfId="3" applyNumberFormat="1" applyFont="1" applyFill="1" applyBorder="1" applyAlignment="1">
      <alignment horizontal="center"/>
    </xf>
    <xf numFmtId="182" fontId="9" fillId="0" borderId="0" xfId="2" quotePrefix="1" applyNumberFormat="1" applyFont="1" applyAlignment="1">
      <alignment horizontal="right"/>
    </xf>
    <xf numFmtId="185" fontId="9" fillId="0" borderId="0" xfId="2" applyNumberFormat="1" applyFont="1"/>
    <xf numFmtId="185" fontId="10" fillId="0" borderId="0" xfId="2" quotePrefix="1" applyNumberFormat="1" applyFont="1"/>
    <xf numFmtId="182" fontId="9" fillId="0" borderId="3" xfId="4" applyNumberFormat="1" applyFont="1" applyFill="1" applyBorder="1" applyAlignment="1">
      <alignment horizontal="center"/>
    </xf>
    <xf numFmtId="0" fontId="9" fillId="0" borderId="3" xfId="2" applyFont="1" applyBorder="1" applyAlignment="1">
      <alignment horizontal="right"/>
    </xf>
    <xf numFmtId="0" fontId="10" fillId="0" borderId="3" xfId="2" quotePrefix="1" applyFont="1" applyBorder="1"/>
    <xf numFmtId="0" fontId="10" fillId="0" borderId="0" xfId="2" quotePrefix="1" applyFont="1" applyAlignment="1">
      <alignment horizontal="left"/>
    </xf>
    <xf numFmtId="178" fontId="9" fillId="0" borderId="0" xfId="4" applyNumberFormat="1" applyFont="1" applyFill="1" applyBorder="1" applyAlignment="1">
      <alignment horizontal="right"/>
    </xf>
    <xf numFmtId="0" fontId="10" fillId="0" borderId="0" xfId="2" applyFont="1" applyAlignment="1">
      <alignment horizontal="left"/>
    </xf>
    <xf numFmtId="188" fontId="10" fillId="0" borderId="0" xfId="2" applyNumberFormat="1" applyFont="1" applyAlignment="1">
      <alignment horizontal="left"/>
    </xf>
    <xf numFmtId="185" fontId="10" fillId="0" borderId="0" xfId="2" quotePrefix="1" applyNumberFormat="1" applyFont="1" applyAlignment="1">
      <alignment horizontal="right"/>
    </xf>
    <xf numFmtId="188" fontId="10" fillId="0" borderId="0" xfId="2" quotePrefix="1" applyNumberFormat="1" applyFont="1" applyAlignment="1">
      <alignment horizontal="center"/>
    </xf>
    <xf numFmtId="178" fontId="10" fillId="0" borderId="0" xfId="4" quotePrefix="1" applyNumberFormat="1" applyFont="1" applyFill="1" applyBorder="1" applyAlignment="1"/>
    <xf numFmtId="0" fontId="10" fillId="0" borderId="1" xfId="2" applyFont="1" applyBorder="1"/>
    <xf numFmtId="182" fontId="9" fillId="0" borderId="1" xfId="2" applyNumberFormat="1" applyFont="1" applyBorder="1" applyAlignment="1">
      <alignment horizontal="center"/>
    </xf>
    <xf numFmtId="0" fontId="10" fillId="0" borderId="1" xfId="2" applyFont="1" applyBorder="1" applyAlignment="1">
      <alignment horizontal="left"/>
    </xf>
    <xf numFmtId="0" fontId="11" fillId="0" borderId="0" xfId="5" quotePrefix="1"/>
    <xf numFmtId="0" fontId="11" fillId="0" borderId="0" xfId="5" applyAlignment="1">
      <alignment horizontal="left"/>
    </xf>
    <xf numFmtId="190" fontId="11" fillId="0" borderId="0" xfId="5" quotePrefix="1" applyNumberFormat="1"/>
    <xf numFmtId="191" fontId="12" fillId="0" borderId="0" xfId="5" applyNumberFormat="1" applyFont="1"/>
    <xf numFmtId="14" fontId="11" fillId="0" borderId="0" xfId="5" applyNumberFormat="1" applyAlignment="1">
      <alignment horizontal="center"/>
    </xf>
    <xf numFmtId="176" fontId="11" fillId="0" borderId="0" xfId="3" applyFont="1" applyFill="1" applyAlignment="1">
      <alignment horizontal="center"/>
    </xf>
    <xf numFmtId="192" fontId="11" fillId="0" borderId="0" xfId="5" applyNumberFormat="1" applyAlignment="1">
      <alignment horizontal="center"/>
    </xf>
    <xf numFmtId="182" fontId="11" fillId="0" borderId="0" xfId="5" applyNumberFormat="1" applyAlignment="1">
      <alignment horizontal="center"/>
    </xf>
    <xf numFmtId="176" fontId="11" fillId="0" borderId="0" xfId="3" applyFont="1" applyFill="1"/>
    <xf numFmtId="14" fontId="11" fillId="0" borderId="0" xfId="5" applyNumberFormat="1"/>
    <xf numFmtId="0" fontId="11" fillId="0" borderId="0" xfId="5" applyAlignment="1">
      <alignment horizontal="center"/>
    </xf>
    <xf numFmtId="0" fontId="11" fillId="0" borderId="1" xfId="5" applyBorder="1" applyAlignment="1">
      <alignment horizontal="center"/>
    </xf>
    <xf numFmtId="0" fontId="9" fillId="0" borderId="1" xfId="5" quotePrefix="1" applyFont="1" applyBorder="1" applyAlignment="1">
      <alignment horizontal="center"/>
    </xf>
    <xf numFmtId="14" fontId="11" fillId="0" borderId="1" xfId="5" applyNumberFormat="1" applyBorder="1" applyAlignment="1">
      <alignment horizontal="center"/>
    </xf>
    <xf numFmtId="0" fontId="9" fillId="0" borderId="0" xfId="5" applyFont="1" applyAlignment="1">
      <alignment horizontal="center"/>
    </xf>
    <xf numFmtId="10" fontId="11" fillId="0" borderId="0" xfId="5" applyNumberFormat="1" applyAlignment="1">
      <alignment horizontal="center"/>
    </xf>
    <xf numFmtId="176" fontId="13" fillId="0" borderId="0" xfId="3" applyFont="1" applyAlignment="1">
      <alignment horizontal="center"/>
    </xf>
    <xf numFmtId="183" fontId="11" fillId="5" borderId="0" xfId="4" applyNumberFormat="1" applyFont="1" applyFill="1" applyBorder="1" applyAlignment="1">
      <alignment horizontal="center"/>
    </xf>
    <xf numFmtId="0" fontId="9" fillId="0" borderId="1" xfId="5" applyFont="1" applyBorder="1" applyAlignment="1">
      <alignment horizontal="left"/>
    </xf>
    <xf numFmtId="0" fontId="9" fillId="0" borderId="1" xfId="5" applyFont="1" applyBorder="1" applyAlignment="1">
      <alignment horizontal="center"/>
    </xf>
    <xf numFmtId="193" fontId="11" fillId="0" borderId="0" xfId="5" applyNumberFormat="1"/>
    <xf numFmtId="194" fontId="11" fillId="0" borderId="0" xfId="5" applyNumberFormat="1"/>
    <xf numFmtId="195" fontId="11" fillId="0" borderId="0" xfId="5" applyNumberFormat="1" applyAlignment="1">
      <alignment horizontal="center"/>
    </xf>
    <xf numFmtId="183" fontId="11" fillId="0" borderId="0" xfId="5" applyNumberFormat="1"/>
    <xf numFmtId="0" fontId="14" fillId="0" borderId="0" xfId="2" applyFont="1"/>
    <xf numFmtId="0" fontId="14" fillId="0" borderId="0" xfId="2" applyFont="1" applyAlignment="1">
      <alignment horizontal="center" vertical="center"/>
    </xf>
    <xf numFmtId="178" fontId="14" fillId="0" borderId="0" xfId="4" applyNumberFormat="1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/>
    </xf>
    <xf numFmtId="182" fontId="14" fillId="0" borderId="0" xfId="2" applyNumberFormat="1" applyFont="1" applyAlignment="1">
      <alignment horizontal="center"/>
    </xf>
    <xf numFmtId="182" fontId="14" fillId="0" borderId="0" xfId="2" applyNumberFormat="1" applyFont="1"/>
    <xf numFmtId="183" fontId="14" fillId="0" borderId="0" xfId="4" applyNumberFormat="1" applyFont="1" applyFill="1" applyBorder="1" applyAlignment="1">
      <alignment horizontal="center"/>
    </xf>
    <xf numFmtId="178" fontId="14" fillId="0" borderId="2" xfId="4" applyNumberFormat="1" applyFont="1" applyFill="1" applyBorder="1" applyAlignment="1">
      <alignment horizontal="center" vertical="center"/>
    </xf>
    <xf numFmtId="178" fontId="14" fillId="0" borderId="2" xfId="4" applyNumberFormat="1" applyFont="1" applyFill="1" applyBorder="1" applyAlignment="1">
      <alignment horizontal="center"/>
    </xf>
    <xf numFmtId="178" fontId="14" fillId="0" borderId="2" xfId="4" applyNumberFormat="1" applyFont="1" applyBorder="1" applyAlignment="1">
      <alignment horizontal="center"/>
    </xf>
    <xf numFmtId="0" fontId="14" fillId="0" borderId="0" xfId="2" applyFont="1" applyAlignment="1">
      <alignment horizontal="center"/>
    </xf>
    <xf numFmtId="196" fontId="14" fillId="0" borderId="0" xfId="3" applyNumberFormat="1" applyFont="1" applyBorder="1" applyAlignment="1">
      <alignment horizontal="center"/>
    </xf>
    <xf numFmtId="196" fontId="14" fillId="0" borderId="0" xfId="3" applyNumberFormat="1" applyFont="1" applyFill="1" applyBorder="1" applyAlignment="1">
      <alignment horizontal="center"/>
    </xf>
    <xf numFmtId="196" fontId="15" fillId="0" borderId="0" xfId="3" applyNumberFormat="1" applyFont="1" applyFill="1" applyBorder="1" applyAlignment="1">
      <alignment horizontal="center"/>
    </xf>
    <xf numFmtId="0" fontId="14" fillId="0" borderId="0" xfId="2" applyFont="1" applyAlignment="1">
      <alignment horizontal="left"/>
    </xf>
    <xf numFmtId="0" fontId="15" fillId="0" borderId="1" xfId="2" applyFont="1" applyBorder="1"/>
    <xf numFmtId="0" fontId="15" fillId="0" borderId="0" xfId="2" applyFont="1"/>
    <xf numFmtId="0" fontId="15" fillId="0" borderId="0" xfId="2" quotePrefix="1" applyFont="1"/>
    <xf numFmtId="0" fontId="15" fillId="0" borderId="6" xfId="2" quotePrefix="1" applyFont="1" applyBorder="1"/>
    <xf numFmtId="0" fontId="15" fillId="0" borderId="6" xfId="2" quotePrefix="1" applyFont="1" applyBorder="1" applyAlignment="1">
      <alignment horizontal="right"/>
    </xf>
    <xf numFmtId="0" fontId="14" fillId="0" borderId="6" xfId="2" applyFont="1" applyBorder="1"/>
    <xf numFmtId="2" fontId="14" fillId="6" borderId="2" xfId="2" applyNumberFormat="1" applyFont="1" applyFill="1" applyBorder="1" applyAlignment="1">
      <alignment horizontal="center"/>
    </xf>
    <xf numFmtId="0" fontId="9" fillId="0" borderId="1" xfId="2" applyFont="1" applyBorder="1" applyAlignment="1">
      <alignment horizontal="left"/>
    </xf>
    <xf numFmtId="178" fontId="9" fillId="4" borderId="0" xfId="4" applyNumberFormat="1" applyFont="1" applyFill="1" applyBorder="1" applyAlignment="1">
      <alignment horizontal="center" vertical="center"/>
    </xf>
    <xf numFmtId="182" fontId="16" fillId="0" borderId="0" xfId="2" applyNumberFormat="1" applyFont="1" applyAlignment="1">
      <alignment horizontal="right"/>
    </xf>
    <xf numFmtId="185" fontId="9" fillId="4" borderId="0" xfId="3" applyNumberFormat="1" applyFont="1" applyFill="1" applyBorder="1" applyAlignment="1">
      <alignment horizontal="center"/>
    </xf>
    <xf numFmtId="183" fontId="16" fillId="0" borderId="0" xfId="4" applyNumberFormat="1" applyFont="1" applyFill="1" applyBorder="1" applyAlignment="1">
      <alignment horizontal="left"/>
    </xf>
    <xf numFmtId="0" fontId="10" fillId="0" borderId="0" xfId="2" applyFont="1" applyAlignment="1">
      <alignment horizontal="center" vertical="top" wrapText="1"/>
    </xf>
    <xf numFmtId="188" fontId="9" fillId="0" borderId="0" xfId="2" applyNumberFormat="1" applyFont="1" applyAlignment="1">
      <alignment horizontal="left"/>
    </xf>
    <xf numFmtId="0" fontId="10" fillId="0" borderId="0" xfId="2" applyFont="1" applyAlignment="1">
      <alignment horizontal="right" vertical="top" wrapText="1"/>
    </xf>
    <xf numFmtId="185" fontId="9" fillId="0" borderId="0" xfId="3" applyNumberFormat="1" applyFont="1" applyFill="1" applyBorder="1" applyAlignment="1">
      <alignment horizontal="center"/>
    </xf>
    <xf numFmtId="184" fontId="9" fillId="0" borderId="0" xfId="4" quotePrefix="1" applyNumberFormat="1" applyFont="1" applyBorder="1"/>
    <xf numFmtId="184" fontId="9" fillId="0" borderId="0" xfId="4" quotePrefix="1" applyNumberFormat="1" applyFont="1" applyFill="1" applyBorder="1" applyAlignment="1">
      <alignment vertical="center"/>
    </xf>
    <xf numFmtId="184" fontId="9" fillId="0" borderId="0" xfId="4" applyNumberFormat="1" applyFont="1" applyFill="1" applyBorder="1" applyAlignment="1">
      <alignment vertical="center"/>
    </xf>
    <xf numFmtId="184" fontId="9" fillId="0" borderId="0" xfId="4" applyNumberFormat="1" applyFont="1" applyBorder="1"/>
    <xf numFmtId="186" fontId="9" fillId="0" borderId="0" xfId="4" applyNumberFormat="1" applyFont="1" applyFill="1" applyBorder="1" applyAlignment="1">
      <alignment horizontal="center"/>
    </xf>
    <xf numFmtId="185" fontId="9" fillId="0" borderId="0" xfId="3" applyNumberFormat="1" applyFont="1" applyFill="1" applyBorder="1" applyAlignment="1">
      <alignment horizontal="left" vertical="center"/>
    </xf>
    <xf numFmtId="178" fontId="9" fillId="0" borderId="0" xfId="4" quotePrefix="1" applyNumberFormat="1" applyFont="1" applyFill="1" applyBorder="1" applyAlignment="1">
      <alignment horizontal="left" vertical="center"/>
    </xf>
    <xf numFmtId="185" fontId="10" fillId="0" borderId="0" xfId="3" applyNumberFormat="1" applyFont="1" applyFill="1" applyBorder="1" applyAlignment="1">
      <alignment horizontal="left" vertical="center"/>
    </xf>
    <xf numFmtId="185" fontId="10" fillId="0" borderId="0" xfId="3" quotePrefix="1" applyNumberFormat="1" applyFont="1" applyFill="1" applyBorder="1" applyAlignment="1">
      <alignment horizontal="left" vertical="center"/>
    </xf>
    <xf numFmtId="178" fontId="9" fillId="0" borderId="0" xfId="4" applyNumberFormat="1" applyFont="1" applyFill="1" applyBorder="1" applyAlignment="1">
      <alignment horizontal="left" vertical="center"/>
    </xf>
    <xf numFmtId="0" fontId="9" fillId="0" borderId="1" xfId="2" applyFont="1" applyBorder="1"/>
    <xf numFmtId="185" fontId="9" fillId="0" borderId="0" xfId="2" applyNumberFormat="1" applyFont="1" applyAlignment="1">
      <alignment horizontal="left"/>
    </xf>
    <xf numFmtId="183" fontId="9" fillId="0" borderId="0" xfId="4" applyNumberFormat="1" applyFont="1" applyFill="1" applyBorder="1" applyAlignment="1">
      <alignment horizontal="left"/>
    </xf>
    <xf numFmtId="185" fontId="9" fillId="0" borderId="0" xfId="2" applyNumberFormat="1" applyFont="1" applyAlignment="1">
      <alignment horizontal="center"/>
    </xf>
    <xf numFmtId="197" fontId="9" fillId="0" borderId="0" xfId="2" applyNumberFormat="1" applyFont="1" applyAlignment="1">
      <alignment horizontal="center"/>
    </xf>
    <xf numFmtId="185" fontId="10" fillId="0" borderId="0" xfId="4" quotePrefix="1" applyNumberFormat="1" applyFont="1" applyFill="1" applyBorder="1" applyAlignment="1">
      <alignment horizontal="left" vertical="center"/>
    </xf>
    <xf numFmtId="183" fontId="10" fillId="0" borderId="0" xfId="4" quotePrefix="1" applyNumberFormat="1" applyFont="1" applyFill="1" applyBorder="1" applyAlignment="1">
      <alignment horizontal="left" vertical="center"/>
    </xf>
    <xf numFmtId="185" fontId="9" fillId="0" borderId="0" xfId="4" applyNumberFormat="1" applyFont="1" applyFill="1" applyBorder="1" applyAlignment="1">
      <alignment vertical="center"/>
    </xf>
    <xf numFmtId="197" fontId="9" fillId="0" borderId="0" xfId="4" applyNumberFormat="1" applyFont="1" applyFill="1" applyBorder="1" applyAlignment="1">
      <alignment vertical="center"/>
    </xf>
    <xf numFmtId="185" fontId="9" fillId="0" borderId="0" xfId="4" applyNumberFormat="1" applyFont="1" applyFill="1" applyBorder="1" applyAlignment="1">
      <alignment horizontal="left" vertical="center"/>
    </xf>
    <xf numFmtId="183" fontId="9" fillId="0" borderId="0" xfId="4" applyNumberFormat="1" applyFont="1" applyFill="1" applyBorder="1" applyAlignment="1">
      <alignment horizontal="left" vertical="center"/>
    </xf>
    <xf numFmtId="184" fontId="9" fillId="0" borderId="0" xfId="4" applyNumberFormat="1" applyFont="1" applyFill="1" applyBorder="1" applyAlignment="1">
      <alignment horizontal="left" vertical="center"/>
    </xf>
    <xf numFmtId="0" fontId="9" fillId="0" borderId="0" xfId="2" quotePrefix="1" applyFont="1" applyAlignment="1">
      <alignment horizontal="left"/>
    </xf>
    <xf numFmtId="0" fontId="9" fillId="0" borderId="0" xfId="2" applyFont="1" applyAlignment="1">
      <alignment horizontal="left"/>
    </xf>
    <xf numFmtId="0" fontId="14" fillId="0" borderId="2" xfId="2" applyFont="1" applyBorder="1" applyAlignment="1">
      <alignment horizontal="center"/>
    </xf>
    <xf numFmtId="0" fontId="14" fillId="0" borderId="1" xfId="2" applyFont="1" applyBorder="1" applyAlignment="1">
      <alignment horizontal="center" vertical="center"/>
    </xf>
    <xf numFmtId="182" fontId="14" fillId="7" borderId="0" xfId="2" applyNumberFormat="1" applyFont="1" applyFill="1"/>
    <xf numFmtId="183" fontId="14" fillId="7" borderId="0" xfId="4" applyNumberFormat="1" applyFont="1" applyFill="1" applyBorder="1" applyAlignment="1">
      <alignment horizontal="center"/>
    </xf>
    <xf numFmtId="183" fontId="10" fillId="0" borderId="0" xfId="4" quotePrefix="1" applyNumberFormat="1" applyFont="1" applyFill="1" applyBorder="1" applyAlignment="1">
      <alignment horizontal="right" vertical="center"/>
    </xf>
    <xf numFmtId="178" fontId="9" fillId="0" borderId="7" xfId="4" applyNumberFormat="1" applyFont="1" applyBorder="1"/>
    <xf numFmtId="180" fontId="9" fillId="0" borderId="1" xfId="3" applyNumberFormat="1" applyFont="1" applyFill="1" applyBorder="1" applyAlignment="1">
      <alignment horizontal="center"/>
    </xf>
    <xf numFmtId="0" fontId="10" fillId="0" borderId="1" xfId="2" applyFont="1" applyBorder="1" applyAlignment="1">
      <alignment horizontal="right"/>
    </xf>
    <xf numFmtId="0" fontId="9" fillId="0" borderId="2" xfId="2" applyFont="1" applyBorder="1"/>
    <xf numFmtId="182" fontId="9" fillId="0" borderId="2" xfId="2" applyNumberFormat="1" applyFont="1" applyBorder="1" applyAlignment="1">
      <alignment horizontal="right"/>
    </xf>
    <xf numFmtId="182" fontId="9" fillId="0" borderId="2" xfId="2" applyNumberFormat="1" applyFont="1" applyBorder="1" applyAlignment="1">
      <alignment horizontal="center"/>
    </xf>
    <xf numFmtId="0" fontId="10" fillId="0" borderId="1" xfId="2" quotePrefix="1" applyFont="1" applyBorder="1"/>
    <xf numFmtId="0" fontId="9" fillId="0" borderId="1" xfId="2" quotePrefix="1" applyFont="1" applyBorder="1" applyAlignment="1">
      <alignment horizontal="center"/>
    </xf>
    <xf numFmtId="184" fontId="9" fillId="7" borderId="0" xfId="4" quotePrefix="1" applyNumberFormat="1" applyFont="1" applyFill="1" applyBorder="1"/>
    <xf numFmtId="178" fontId="9" fillId="7" borderId="0" xfId="4" applyNumberFormat="1" applyFont="1" applyFill="1" applyBorder="1" applyAlignment="1">
      <alignment vertical="center"/>
    </xf>
    <xf numFmtId="184" fontId="9" fillId="7" borderId="0" xfId="4" quotePrefix="1" applyNumberFormat="1" applyFont="1" applyFill="1" applyBorder="1" applyAlignment="1">
      <alignment vertical="center"/>
    </xf>
    <xf numFmtId="0" fontId="9" fillId="7" borderId="0" xfId="2" applyFont="1" applyFill="1"/>
    <xf numFmtId="184" fontId="9" fillId="7" borderId="0" xfId="4" applyNumberFormat="1" applyFont="1" applyFill="1" applyBorder="1" applyAlignment="1">
      <alignment vertical="center"/>
    </xf>
    <xf numFmtId="0" fontId="9" fillId="7" borderId="1" xfId="2" applyFont="1" applyFill="1" applyBorder="1" applyAlignment="1">
      <alignment horizontal="center"/>
    </xf>
    <xf numFmtId="0" fontId="9" fillId="7" borderId="1" xfId="2" applyFont="1" applyFill="1" applyBorder="1"/>
    <xf numFmtId="176" fontId="9" fillId="0" borderId="0" xfId="6" applyFont="1" applyFill="1" applyBorder="1" applyAlignment="1">
      <alignment horizontal="center" vertical="top"/>
    </xf>
    <xf numFmtId="186" fontId="9" fillId="0" borderId="7" xfId="4" applyNumberFormat="1" applyFont="1" applyBorder="1"/>
    <xf numFmtId="177" fontId="9" fillId="0" borderId="0" xfId="2" applyNumberFormat="1" applyFont="1" applyAlignment="1">
      <alignment horizontal="center"/>
    </xf>
    <xf numFmtId="181" fontId="9" fillId="0" borderId="0" xfId="2" applyNumberFormat="1" applyFont="1" applyAlignment="1">
      <alignment horizontal="center"/>
    </xf>
    <xf numFmtId="198" fontId="9" fillId="0" borderId="0" xfId="2" applyNumberFormat="1" applyFont="1"/>
    <xf numFmtId="0" fontId="17" fillId="0" borderId="0" xfId="2" applyFont="1"/>
    <xf numFmtId="0" fontId="9" fillId="7" borderId="1" xfId="2" applyFont="1" applyFill="1" applyBorder="1" applyAlignment="1">
      <alignment horizontal="left"/>
    </xf>
    <xf numFmtId="178" fontId="9" fillId="7" borderId="1" xfId="2" applyNumberFormat="1" applyFont="1" applyFill="1" applyBorder="1" applyAlignment="1">
      <alignment horizontal="center"/>
    </xf>
    <xf numFmtId="183" fontId="9" fillId="0" borderId="2" xfId="1" applyNumberFormat="1" applyFont="1" applyBorder="1" applyAlignment="1">
      <alignment horizontal="center"/>
    </xf>
    <xf numFmtId="0" fontId="9" fillId="0" borderId="2" xfId="2" quotePrefix="1" applyFont="1" applyBorder="1"/>
    <xf numFmtId="0" fontId="1" fillId="0" borderId="0" xfId="7"/>
    <xf numFmtId="0" fontId="18" fillId="0" borderId="0" xfId="11">
      <alignment vertical="center"/>
    </xf>
    <xf numFmtId="0" fontId="19" fillId="0" borderId="0" xfId="11" applyFont="1" applyAlignment="1">
      <alignment horizontal="right" vertical="top"/>
    </xf>
    <xf numFmtId="0" fontId="7" fillId="0" borderId="6" xfId="11" applyFont="1" applyBorder="1" applyAlignment="1">
      <alignment horizontal="center" vertical="center"/>
    </xf>
    <xf numFmtId="0" fontId="7" fillId="0" borderId="0" xfId="11" applyFont="1">
      <alignment vertical="center"/>
    </xf>
    <xf numFmtId="0" fontId="19" fillId="0" borderId="6" xfId="11" applyFont="1" applyBorder="1" applyAlignment="1">
      <alignment horizontal="center" vertical="center"/>
    </xf>
    <xf numFmtId="180" fontId="18" fillId="0" borderId="8" xfId="11" applyNumberFormat="1" applyBorder="1">
      <alignment vertical="center"/>
    </xf>
    <xf numFmtId="180" fontId="7" fillId="0" borderId="0" xfId="11" applyNumberFormat="1" applyFont="1">
      <alignment vertical="center"/>
    </xf>
    <xf numFmtId="180" fontId="7" fillId="0" borderId="0" xfId="11" applyNumberFormat="1" applyFont="1" applyAlignment="1">
      <alignment horizontal="center" vertical="top"/>
    </xf>
    <xf numFmtId="180" fontId="7" fillId="0" borderId="0" xfId="11" applyNumberFormat="1" applyFont="1" applyAlignment="1">
      <alignment horizontal="right" vertical="top"/>
    </xf>
    <xf numFmtId="0" fontId="18" fillId="0" borderId="0" xfId="11" applyAlignment="1">
      <alignment vertical="top"/>
    </xf>
    <xf numFmtId="180" fontId="18" fillId="0" borderId="0" xfId="11" applyNumberFormat="1">
      <alignment vertical="center"/>
    </xf>
    <xf numFmtId="0" fontId="7" fillId="0" borderId="0" xfId="11" quotePrefix="1" applyFont="1">
      <alignment vertical="center"/>
    </xf>
    <xf numFmtId="180" fontId="18" fillId="0" borderId="9" xfId="11" applyNumberFormat="1" applyBorder="1">
      <alignment vertical="center"/>
    </xf>
    <xf numFmtId="180" fontId="7" fillId="0" borderId="0" xfId="11" applyNumberFormat="1" applyFont="1" applyAlignment="1">
      <alignment horizontal="center"/>
    </xf>
    <xf numFmtId="180" fontId="19" fillId="0" borderId="0" xfId="11" applyNumberFormat="1" applyFont="1" applyAlignment="1">
      <alignment horizontal="right"/>
    </xf>
    <xf numFmtId="0" fontId="18" fillId="0" borderId="0" xfId="11" applyAlignment="1"/>
    <xf numFmtId="180" fontId="18" fillId="8" borderId="8" xfId="11" applyNumberFormat="1" applyFill="1" applyBorder="1">
      <alignment vertical="center"/>
    </xf>
    <xf numFmtId="180" fontId="19" fillId="0" borderId="0" xfId="11" quotePrefix="1" applyNumberFormat="1" applyFont="1" applyAlignment="1">
      <alignment horizontal="right" vertical="center"/>
    </xf>
    <xf numFmtId="0" fontId="19" fillId="0" borderId="0" xfId="11" quotePrefix="1" applyFont="1" applyAlignment="1">
      <alignment horizontal="right" vertical="center"/>
    </xf>
    <xf numFmtId="180" fontId="19" fillId="0" borderId="0" xfId="11" quotePrefix="1" applyNumberFormat="1" applyFont="1" applyAlignment="1">
      <alignment horizontal="left" vertical="top"/>
    </xf>
    <xf numFmtId="0" fontId="19" fillId="0" borderId="0" xfId="11" quotePrefix="1" applyFont="1" applyAlignment="1">
      <alignment horizontal="right"/>
    </xf>
    <xf numFmtId="0" fontId="7" fillId="0" borderId="0" xfId="11" applyFont="1" applyAlignment="1">
      <alignment vertical="top"/>
    </xf>
    <xf numFmtId="0" fontId="19" fillId="0" borderId="0" xfId="11" applyFont="1" applyAlignment="1"/>
    <xf numFmtId="0" fontId="19" fillId="0" borderId="0" xfId="11" applyFont="1" applyAlignment="1">
      <alignment horizontal="left" vertical="top"/>
    </xf>
    <xf numFmtId="192" fontId="18" fillId="0" borderId="0" xfId="11" applyNumberFormat="1" applyAlignment="1">
      <alignment horizontal="left" vertical="center"/>
    </xf>
    <xf numFmtId="0" fontId="7" fillId="0" borderId="0" xfId="11" applyFont="1" applyAlignment="1">
      <alignment horizontal="right" vertical="center"/>
    </xf>
    <xf numFmtId="0" fontId="19" fillId="0" borderId="0" xfId="11" quotePrefix="1" applyFont="1">
      <alignment vertical="center"/>
    </xf>
    <xf numFmtId="0" fontId="18" fillId="0" borderId="0" xfId="11" applyAlignment="1">
      <alignment horizontal="left" vertical="center"/>
    </xf>
    <xf numFmtId="0" fontId="20" fillId="0" borderId="0" xfId="11" applyFont="1">
      <alignment vertical="center"/>
    </xf>
    <xf numFmtId="10" fontId="18" fillId="0" borderId="0" xfId="11" applyNumberFormat="1" applyAlignment="1">
      <alignment horizontal="left" vertical="center"/>
    </xf>
    <xf numFmtId="0" fontId="18" fillId="0" borderId="0" xfId="11" applyAlignment="1">
      <alignment horizontal="right" vertical="center"/>
    </xf>
    <xf numFmtId="0" fontId="19" fillId="0" borderId="0" xfId="11" applyFont="1" applyAlignment="1">
      <alignment horizontal="right" vertical="center"/>
    </xf>
    <xf numFmtId="0" fontId="11" fillId="0" borderId="0" xfId="52"/>
    <xf numFmtId="0" fontId="13" fillId="0" borderId="0" xfId="52" quotePrefix="1" applyFont="1"/>
    <xf numFmtId="182" fontId="11" fillId="0" borderId="0" xfId="52" applyNumberFormat="1"/>
    <xf numFmtId="0" fontId="9" fillId="0" borderId="0" xfId="52" applyFont="1" applyAlignment="1">
      <alignment horizontal="right"/>
    </xf>
    <xf numFmtId="178" fontId="11" fillId="0" borderId="6" xfId="55" applyNumberFormat="1" applyFont="1" applyBorder="1" applyAlignment="1"/>
    <xf numFmtId="0" fontId="11" fillId="0" borderId="6" xfId="52" applyBorder="1"/>
    <xf numFmtId="0" fontId="11" fillId="0" borderId="19" xfId="52" applyBorder="1" applyAlignment="1">
      <alignment horizontal="center"/>
    </xf>
    <xf numFmtId="178" fontId="11" fillId="31" borderId="0" xfId="55" applyNumberFormat="1" applyFont="1" applyFill="1" applyAlignment="1"/>
    <xf numFmtId="0" fontId="9" fillId="0" borderId="0" xfId="52" applyFont="1" applyAlignment="1">
      <alignment horizontal="center"/>
    </xf>
    <xf numFmtId="178" fontId="11" fillId="7" borderId="1" xfId="55" applyNumberFormat="1" applyFont="1" applyFill="1" applyBorder="1" applyAlignment="1"/>
    <xf numFmtId="178" fontId="11" fillId="0" borderId="0" xfId="55" applyNumberFormat="1" applyFont="1" applyAlignment="1"/>
    <xf numFmtId="185" fontId="11" fillId="0" borderId="0" xfId="52" applyNumberFormat="1" applyAlignment="1">
      <alignment horizontal="right"/>
    </xf>
    <xf numFmtId="185" fontId="11" fillId="32" borderId="0" xfId="52" applyNumberFormat="1" applyFill="1" applyAlignment="1">
      <alignment horizontal="right"/>
    </xf>
    <xf numFmtId="178" fontId="11" fillId="33" borderId="0" xfId="55" applyNumberFormat="1" applyFont="1" applyFill="1" applyAlignment="1"/>
    <xf numFmtId="178" fontId="11" fillId="7" borderId="0" xfId="55" applyNumberFormat="1" applyFont="1" applyFill="1" applyAlignment="1"/>
    <xf numFmtId="0" fontId="9" fillId="31" borderId="20" xfId="52" applyFont="1" applyFill="1" applyBorder="1" applyAlignment="1">
      <alignment horizontal="center"/>
    </xf>
    <xf numFmtId="0" fontId="9" fillId="0" borderId="21" xfId="52" applyFont="1" applyBorder="1" applyAlignment="1">
      <alignment horizontal="center"/>
    </xf>
    <xf numFmtId="0" fontId="9" fillId="7" borderId="20" xfId="52" applyFont="1" applyFill="1" applyBorder="1" applyAlignment="1">
      <alignment horizontal="center"/>
    </xf>
    <xf numFmtId="180" fontId="11" fillId="0" borderId="21" xfId="52" applyNumberFormat="1" applyBorder="1" applyAlignment="1">
      <alignment horizontal="center"/>
    </xf>
    <xf numFmtId="180" fontId="11" fillId="32" borderId="21" xfId="52" applyNumberFormat="1" applyFill="1" applyBorder="1" applyAlignment="1">
      <alignment horizontal="center"/>
    </xf>
    <xf numFmtId="0" fontId="11" fillId="33" borderId="21" xfId="52" applyFill="1" applyBorder="1" applyAlignment="1">
      <alignment horizontal="right"/>
    </xf>
    <xf numFmtId="180" fontId="11" fillId="31" borderId="22" xfId="52" applyNumberFormat="1" applyFill="1" applyBorder="1" applyAlignment="1">
      <alignment horizontal="center"/>
    </xf>
    <xf numFmtId="0" fontId="9" fillId="0" borderId="23" xfId="52" applyFont="1" applyBorder="1" applyAlignment="1">
      <alignment horizontal="center"/>
    </xf>
    <xf numFmtId="180" fontId="11" fillId="34" borderId="22" xfId="52" applyNumberFormat="1" applyFill="1" applyBorder="1" applyAlignment="1">
      <alignment horizontal="center"/>
    </xf>
    <xf numFmtId="180" fontId="11" fillId="32" borderId="24" xfId="52" applyNumberFormat="1" applyFill="1" applyBorder="1" applyAlignment="1">
      <alignment horizontal="center"/>
    </xf>
    <xf numFmtId="180" fontId="11" fillId="33" borderId="22" xfId="52" applyNumberFormat="1" applyFill="1" applyBorder="1" applyAlignment="1">
      <alignment horizontal="center"/>
    </xf>
    <xf numFmtId="183" fontId="40" fillId="0" borderId="0" xfId="55" applyNumberFormat="1" applyFont="1" applyAlignment="1">
      <alignment horizontal="center"/>
    </xf>
    <xf numFmtId="0" fontId="41" fillId="0" borderId="0" xfId="53" applyFont="1" applyAlignment="1">
      <alignment horizontal="right" vertical="center"/>
    </xf>
    <xf numFmtId="0" fontId="40" fillId="0" borderId="0" xfId="52" applyFont="1"/>
    <xf numFmtId="0" fontId="41" fillId="0" borderId="0" xfId="53" applyFont="1" applyAlignment="1">
      <alignment horizontal="center"/>
    </xf>
    <xf numFmtId="0" fontId="41" fillId="0" borderId="0" xfId="53" applyFont="1" applyAlignment="1">
      <alignment horizontal="right"/>
    </xf>
    <xf numFmtId="0" fontId="41" fillId="0" borderId="0" xfId="52" applyFont="1" applyAlignment="1">
      <alignment horizontal="right"/>
    </xf>
    <xf numFmtId="183" fontId="11" fillId="0" borderId="0" xfId="55" applyNumberFormat="1" applyFont="1" applyAlignment="1"/>
    <xf numFmtId="0" fontId="11" fillId="0" borderId="0" xfId="52" applyAlignment="1">
      <alignment horizontal="center"/>
    </xf>
    <xf numFmtId="180" fontId="11" fillId="33" borderId="24" xfId="52" applyNumberFormat="1" applyFill="1" applyBorder="1" applyAlignment="1">
      <alignment horizontal="center"/>
    </xf>
    <xf numFmtId="180" fontId="11" fillId="7" borderId="20" xfId="52" applyNumberFormat="1" applyFill="1" applyBorder="1" applyAlignment="1">
      <alignment horizontal="center"/>
    </xf>
    <xf numFmtId="180" fontId="11" fillId="0" borderId="20" xfId="52" applyNumberFormat="1" applyBorder="1" applyAlignment="1">
      <alignment horizontal="center"/>
    </xf>
    <xf numFmtId="199" fontId="11" fillId="0" borderId="25" xfId="52" applyNumberFormat="1" applyBorder="1" applyAlignment="1">
      <alignment horizontal="center"/>
    </xf>
    <xf numFmtId="180" fontId="11" fillId="0" borderId="24" xfId="52" applyNumberFormat="1" applyBorder="1" applyAlignment="1">
      <alignment horizontal="center"/>
    </xf>
    <xf numFmtId="180" fontId="11" fillId="32" borderId="20" xfId="52" applyNumberFormat="1" applyFill="1" applyBorder="1" applyAlignment="1">
      <alignment horizontal="center"/>
    </xf>
    <xf numFmtId="180" fontId="11" fillId="0" borderId="25" xfId="52" applyNumberFormat="1" applyBorder="1" applyAlignment="1">
      <alignment horizontal="center"/>
    </xf>
    <xf numFmtId="178" fontId="11" fillId="0" borderId="3" xfId="55" applyNumberFormat="1" applyFont="1" applyBorder="1" applyAlignment="1"/>
    <xf numFmtId="0" fontId="9" fillId="0" borderId="6" xfId="52" applyFont="1" applyBorder="1" applyAlignment="1">
      <alignment horizontal="center"/>
    </xf>
    <xf numFmtId="183" fontId="11" fillId="7" borderId="1" xfId="55" applyNumberFormat="1" applyFont="1" applyFill="1" applyBorder="1" applyAlignment="1"/>
    <xf numFmtId="192" fontId="11" fillId="0" borderId="0" xfId="52" applyNumberFormat="1" applyAlignment="1">
      <alignment horizontal="right"/>
    </xf>
    <xf numFmtId="192" fontId="11" fillId="32" borderId="0" xfId="52" applyNumberFormat="1" applyFill="1" applyAlignment="1">
      <alignment horizontal="right"/>
    </xf>
    <xf numFmtId="183" fontId="11" fillId="7" borderId="0" xfId="55" applyNumberFormat="1" applyFont="1" applyFill="1" applyAlignment="1"/>
    <xf numFmtId="0" fontId="9" fillId="0" borderId="20" xfId="52" applyFont="1" applyBorder="1" applyAlignment="1">
      <alignment horizontal="center"/>
    </xf>
    <xf numFmtId="0" fontId="11" fillId="31" borderId="21" xfId="52" applyFill="1" applyBorder="1" applyAlignment="1">
      <alignment horizontal="center"/>
    </xf>
    <xf numFmtId="180" fontId="11" fillId="0" borderId="22" xfId="52" applyNumberFormat="1" applyBorder="1" applyAlignment="1">
      <alignment horizontal="center"/>
    </xf>
    <xf numFmtId="180" fontId="11" fillId="7" borderId="22" xfId="52" applyNumberFormat="1" applyFill="1" applyBorder="1" applyAlignment="1">
      <alignment horizontal="center"/>
    </xf>
    <xf numFmtId="188" fontId="11" fillId="0" borderId="0" xfId="5" applyNumberFormat="1" applyAlignment="1">
      <alignment horizontal="center"/>
    </xf>
    <xf numFmtId="43" fontId="11" fillId="0" borderId="0" xfId="5" quotePrefix="1" applyNumberFormat="1"/>
    <xf numFmtId="178" fontId="11" fillId="0" borderId="0" xfId="4" applyNumberFormat="1" applyFont="1" applyFill="1" applyAlignment="1">
      <alignment horizontal="center"/>
    </xf>
    <xf numFmtId="178" fontId="11" fillId="0" borderId="0" xfId="5" applyNumberFormat="1" applyAlignment="1">
      <alignment horizontal="center"/>
    </xf>
    <xf numFmtId="200" fontId="11" fillId="0" borderId="0" xfId="5" applyNumberFormat="1"/>
    <xf numFmtId="201" fontId="11" fillId="0" borderId="0" xfId="5" applyNumberFormat="1"/>
    <xf numFmtId="176" fontId="11" fillId="35" borderId="0" xfId="3" applyFont="1" applyFill="1" applyAlignment="1">
      <alignment horizontal="center"/>
    </xf>
    <xf numFmtId="178" fontId="11" fillId="0" borderId="0" xfId="5" applyNumberFormat="1"/>
    <xf numFmtId="202" fontId="11" fillId="0" borderId="0" xfId="3" applyNumberFormat="1" applyFont="1" applyFill="1" applyAlignment="1">
      <alignment horizontal="center"/>
    </xf>
    <xf numFmtId="178" fontId="11" fillId="5" borderId="0" xfId="4" applyNumberFormat="1" applyFont="1" applyFill="1" applyBorder="1" applyAlignment="1">
      <alignment horizontal="center"/>
    </xf>
    <xf numFmtId="192" fontId="11" fillId="0" borderId="0" xfId="5" applyNumberFormat="1"/>
    <xf numFmtId="0" fontId="12" fillId="0" borderId="1" xfId="5" applyFont="1" applyBorder="1" applyAlignment="1">
      <alignment horizontal="center"/>
    </xf>
    <xf numFmtId="0" fontId="12" fillId="0" borderId="0" xfId="5" quotePrefix="1" applyFont="1"/>
    <xf numFmtId="0" fontId="12" fillId="0" borderId="0" xfId="5" applyFont="1"/>
    <xf numFmtId="192" fontId="11" fillId="35" borderId="0" xfId="5" applyNumberFormat="1" applyFill="1"/>
    <xf numFmtId="2" fontId="14" fillId="0" borderId="0" xfId="3" applyNumberFormat="1" applyFont="1" applyFill="1" applyBorder="1" applyAlignment="1">
      <alignment horizontal="center" vertical="center"/>
    </xf>
    <xf numFmtId="0" fontId="42" fillId="0" borderId="0" xfId="2" applyFont="1" applyAlignment="1">
      <alignment horizontal="center"/>
    </xf>
    <xf numFmtId="0" fontId="42" fillId="0" borderId="0" xfId="2" applyFont="1"/>
    <xf numFmtId="187" fontId="14" fillId="0" borderId="2" xfId="4" applyNumberFormat="1" applyFont="1" applyFill="1" applyBorder="1" applyAlignment="1">
      <alignment horizontal="center" vertical="center"/>
    </xf>
    <xf numFmtId="187" fontId="42" fillId="0" borderId="1" xfId="4" applyNumberFormat="1" applyFont="1" applyFill="1" applyBorder="1" applyAlignment="1">
      <alignment horizontal="center" vertical="center"/>
    </xf>
    <xf numFmtId="180" fontId="14" fillId="0" borderId="0" xfId="3" applyNumberFormat="1" applyFont="1" applyBorder="1" applyAlignment="1">
      <alignment horizontal="center"/>
    </xf>
    <xf numFmtId="188" fontId="14" fillId="0" borderId="0" xfId="2" applyNumberFormat="1" applyFont="1"/>
    <xf numFmtId="178" fontId="14" fillId="0" borderId="0" xfId="4" applyNumberFormat="1" applyFont="1" applyFill="1" applyBorder="1"/>
    <xf numFmtId="186" fontId="42" fillId="0" borderId="0" xfId="4" quotePrefix="1" applyNumberFormat="1" applyFont="1" applyFill="1" applyBorder="1" applyAlignment="1">
      <alignment horizontal="center"/>
    </xf>
    <xf numFmtId="185" fontId="14" fillId="0" borderId="0" xfId="2" quotePrefix="1" applyNumberFormat="1" applyFont="1" applyAlignment="1">
      <alignment horizontal="right"/>
    </xf>
    <xf numFmtId="178" fontId="14" fillId="0" borderId="0" xfId="4" applyNumberFormat="1" applyFont="1" applyFill="1" applyBorder="1" applyAlignment="1">
      <alignment vertical="center"/>
    </xf>
    <xf numFmtId="184" fontId="42" fillId="0" borderId="0" xfId="4" applyNumberFormat="1" applyFont="1" applyFill="1" applyBorder="1" applyAlignment="1">
      <alignment vertical="center"/>
    </xf>
    <xf numFmtId="184" fontId="42" fillId="0" borderId="0" xfId="4" quotePrefix="1" applyNumberFormat="1" applyFont="1" applyFill="1" applyBorder="1" applyAlignment="1">
      <alignment vertical="center"/>
    </xf>
    <xf numFmtId="183" fontId="14" fillId="0" borderId="0" xfId="4" applyNumberFormat="1" applyFont="1" applyFill="1" applyBorder="1" applyAlignment="1">
      <alignment horizontal="center" vertical="center"/>
    </xf>
    <xf numFmtId="178" fontId="14" fillId="4" borderId="0" xfId="4" applyNumberFormat="1" applyFont="1" applyFill="1" applyBorder="1"/>
    <xf numFmtId="184" fontId="42" fillId="0" borderId="0" xfId="4" quotePrefix="1" applyNumberFormat="1" applyFont="1" applyBorder="1"/>
    <xf numFmtId="178" fontId="14" fillId="4" borderId="0" xfId="4" applyNumberFormat="1" applyFont="1" applyFill="1" applyBorder="1" applyAlignment="1">
      <alignment vertical="center"/>
    </xf>
    <xf numFmtId="186" fontId="42" fillId="0" borderId="0" xfId="4" applyNumberFormat="1" applyFont="1" applyFill="1" applyBorder="1" applyAlignment="1">
      <alignment horizontal="center"/>
    </xf>
    <xf numFmtId="184" fontId="42" fillId="0" borderId="0" xfId="4" applyNumberFormat="1" applyFont="1" applyBorder="1"/>
    <xf numFmtId="180" fontId="14" fillId="0" borderId="0" xfId="3" applyNumberFormat="1" applyFont="1" applyFill="1" applyBorder="1" applyAlignment="1">
      <alignment horizontal="center"/>
    </xf>
    <xf numFmtId="184" fontId="42" fillId="0" borderId="0" xfId="4" applyNumberFormat="1" applyFont="1" applyFill="1" applyBorder="1"/>
    <xf numFmtId="180" fontId="14" fillId="3" borderId="0" xfId="3" applyNumberFormat="1" applyFont="1" applyFill="1" applyBorder="1" applyAlignment="1">
      <alignment horizontal="center"/>
    </xf>
    <xf numFmtId="180" fontId="14" fillId="2" borderId="0" xfId="3" applyNumberFormat="1" applyFont="1" applyFill="1" applyBorder="1" applyAlignment="1">
      <alignment horizontal="center"/>
    </xf>
    <xf numFmtId="0" fontId="42" fillId="0" borderId="0" xfId="2" applyFont="1" applyAlignment="1">
      <alignment horizontal="right"/>
    </xf>
    <xf numFmtId="0" fontId="14" fillId="0" borderId="0" xfId="2" applyFont="1" applyAlignment="1">
      <alignment horizontal="right"/>
    </xf>
    <xf numFmtId="189" fontId="14" fillId="0" borderId="1" xfId="4" applyNumberFormat="1" applyFont="1" applyFill="1" applyBorder="1" applyAlignment="1">
      <alignment horizontal="center" vertical="center"/>
    </xf>
    <xf numFmtId="182" fontId="14" fillId="0" borderId="1" xfId="2" applyNumberFormat="1" applyFont="1" applyBorder="1" applyAlignment="1">
      <alignment horizontal="left"/>
    </xf>
    <xf numFmtId="0" fontId="42" fillId="0" borderId="1" xfId="2" applyFont="1" applyBorder="1" applyAlignment="1">
      <alignment horizontal="center"/>
    </xf>
    <xf numFmtId="0" fontId="14" fillId="0" borderId="1" xfId="2" applyFont="1" applyBorder="1" applyAlignment="1">
      <alignment horizontal="right"/>
    </xf>
    <xf numFmtId="178" fontId="14" fillId="0" borderId="0" xfId="4" applyNumberFormat="1" applyFont="1" applyFill="1" applyBorder="1" applyAlignment="1">
      <alignment horizontal="center"/>
    </xf>
    <xf numFmtId="182" fontId="14" fillId="4" borderId="0" xfId="2" applyNumberFormat="1" applyFont="1" applyFill="1"/>
    <xf numFmtId="182" fontId="42" fillId="0" borderId="0" xfId="2" quotePrefix="1" applyNumberFormat="1" applyFont="1"/>
    <xf numFmtId="183" fontId="14" fillId="4" borderId="0" xfId="4" applyNumberFormat="1" applyFont="1" applyFill="1" applyBorder="1" applyAlignment="1">
      <alignment horizontal="right"/>
    </xf>
    <xf numFmtId="183" fontId="42" fillId="0" borderId="0" xfId="4" quotePrefix="1" applyNumberFormat="1" applyFont="1" applyFill="1" applyBorder="1"/>
    <xf numFmtId="182" fontId="42" fillId="0" borderId="0" xfId="2" quotePrefix="1" applyNumberFormat="1" applyFont="1" applyAlignment="1">
      <alignment horizontal="center"/>
    </xf>
    <xf numFmtId="182" fontId="42" fillId="0" borderId="0" xfId="2" applyNumberFormat="1" applyFont="1"/>
    <xf numFmtId="183" fontId="14" fillId="0" borderId="0" xfId="4" applyNumberFormat="1" applyFont="1" applyFill="1" applyBorder="1" applyAlignment="1">
      <alignment horizontal="right"/>
    </xf>
    <xf numFmtId="183" fontId="42" fillId="0" borderId="0" xfId="4" applyNumberFormat="1" applyFont="1" applyFill="1" applyBorder="1"/>
    <xf numFmtId="182" fontId="14" fillId="0" borderId="0" xfId="2" applyNumberFormat="1" applyFont="1" applyAlignment="1">
      <alignment horizontal="left"/>
    </xf>
    <xf numFmtId="183" fontId="14" fillId="0" borderId="0" xfId="4" applyNumberFormat="1" applyFont="1" applyFill="1" applyBorder="1"/>
    <xf numFmtId="183" fontId="14" fillId="0" borderId="0" xfId="4" applyNumberFormat="1" applyFont="1" applyBorder="1" applyAlignment="1">
      <alignment horizontal="right"/>
    </xf>
    <xf numFmtId="183" fontId="14" fillId="0" borderId="0" xfId="4" applyNumberFormat="1" applyFont="1" applyBorder="1"/>
    <xf numFmtId="189" fontId="14" fillId="4" borderId="1" xfId="4" applyNumberFormat="1" applyFont="1" applyFill="1" applyBorder="1" applyAlignment="1">
      <alignment horizontal="center" vertical="center"/>
    </xf>
    <xf numFmtId="189" fontId="14" fillId="0" borderId="0" xfId="4" applyNumberFormat="1" applyFont="1" applyFill="1" applyBorder="1" applyAlignment="1">
      <alignment horizontal="center" vertical="center"/>
    </xf>
    <xf numFmtId="183" fontId="42" fillId="0" borderId="0" xfId="4" applyNumberFormat="1" applyFont="1" applyFill="1" applyBorder="1" applyAlignment="1">
      <alignment horizontal="center"/>
    </xf>
    <xf numFmtId="188" fontId="42" fillId="0" borderId="0" xfId="2" applyNumberFormat="1" applyFont="1"/>
    <xf numFmtId="188" fontId="14" fillId="4" borderId="0" xfId="2" applyNumberFormat="1" applyFont="1" applyFill="1"/>
    <xf numFmtId="188" fontId="42" fillId="0" borderId="0" xfId="2" quotePrefix="1" applyNumberFormat="1" applyFont="1"/>
    <xf numFmtId="182" fontId="14" fillId="4" borderId="0" xfId="2" applyNumberFormat="1" applyFont="1" applyFill="1" applyAlignment="1">
      <alignment horizontal="center"/>
    </xf>
    <xf numFmtId="0" fontId="42" fillId="0" borderId="0" xfId="2" quotePrefix="1" applyFont="1"/>
    <xf numFmtId="182" fontId="14" fillId="0" borderId="1" xfId="2" applyNumberFormat="1" applyFont="1" applyBorder="1"/>
    <xf numFmtId="0" fontId="14" fillId="0" borderId="3" xfId="2" applyFont="1" applyBorder="1"/>
    <xf numFmtId="182" fontId="14" fillId="0" borderId="3" xfId="2" applyNumberFormat="1" applyFont="1" applyBorder="1" applyAlignment="1">
      <alignment horizontal="right"/>
    </xf>
    <xf numFmtId="182" fontId="14" fillId="0" borderId="3" xfId="2" applyNumberFormat="1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10" fontId="5" fillId="7" borderId="0" xfId="0" applyNumberFormat="1" applyFont="1" applyFill="1" applyAlignment="1">
      <alignment horizontal="left"/>
    </xf>
    <xf numFmtId="180" fontId="5" fillId="7" borderId="0" xfId="0" applyNumberFormat="1" applyFont="1" applyFill="1" applyAlignment="1">
      <alignment horizontal="left"/>
    </xf>
    <xf numFmtId="0" fontId="14" fillId="0" borderId="1" xfId="2" applyFont="1" applyBorder="1" applyAlignment="1">
      <alignment horizontal="center" vertical="center"/>
    </xf>
    <xf numFmtId="0" fontId="14" fillId="0" borderId="2" xfId="2" applyFont="1" applyBorder="1" applyAlignment="1">
      <alignment horizontal="center"/>
    </xf>
    <xf numFmtId="0" fontId="11" fillId="0" borderId="5" xfId="5" applyBorder="1" applyAlignment="1">
      <alignment horizontal="center"/>
    </xf>
    <xf numFmtId="0" fontId="11" fillId="0" borderId="2" xfId="5" applyBorder="1" applyAlignment="1">
      <alignment horizontal="center"/>
    </xf>
    <xf numFmtId="0" fontId="11" fillId="0" borderId="4" xfId="5" applyBorder="1" applyAlignment="1">
      <alignment horizontal="center"/>
    </xf>
    <xf numFmtId="14" fontId="9" fillId="4" borderId="0" xfId="5" applyNumberFormat="1" applyFont="1" applyFill="1" applyAlignment="1">
      <alignment horizontal="center"/>
    </xf>
    <xf numFmtId="0" fontId="9" fillId="0" borderId="1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0" fillId="0" borderId="1" xfId="2" applyFont="1" applyBorder="1" applyAlignment="1">
      <alignment horizontal="center"/>
    </xf>
    <xf numFmtId="0" fontId="10" fillId="0" borderId="0" xfId="2" applyFont="1" applyAlignment="1">
      <alignment horizontal="center" vertical="top" wrapText="1"/>
    </xf>
    <xf numFmtId="0" fontId="9" fillId="0" borderId="0" xfId="2" applyFont="1" applyAlignment="1">
      <alignment horizontal="center"/>
    </xf>
    <xf numFmtId="178" fontId="9" fillId="7" borderId="1" xfId="4" applyNumberFormat="1" applyFont="1" applyFill="1" applyBorder="1" applyAlignment="1">
      <alignment horizontal="center"/>
    </xf>
    <xf numFmtId="0" fontId="18" fillId="7" borderId="1" xfId="11" applyFill="1" applyBorder="1" applyAlignment="1">
      <alignment horizontal="center"/>
    </xf>
    <xf numFmtId="0" fontId="9" fillId="0" borderId="21" xfId="52" applyFont="1" applyBorder="1" applyAlignment="1">
      <alignment horizontal="center"/>
    </xf>
  </cellXfs>
  <cellStyles count="56">
    <cellStyle name="20% - アクセント 1" xfId="12" xr:uid="{00000000-0005-0000-0000-000000000000}"/>
    <cellStyle name="20% - アクセント 2" xfId="13" xr:uid="{00000000-0005-0000-0000-000001000000}"/>
    <cellStyle name="20% - アクセント 3" xfId="14" xr:uid="{00000000-0005-0000-0000-000002000000}"/>
    <cellStyle name="20% - アクセント 4" xfId="15" xr:uid="{00000000-0005-0000-0000-000003000000}"/>
    <cellStyle name="20% - アクセント 5" xfId="16" xr:uid="{00000000-0005-0000-0000-000004000000}"/>
    <cellStyle name="20% - アクセント 6" xfId="17" xr:uid="{00000000-0005-0000-0000-000005000000}"/>
    <cellStyle name="40% - アクセント 1" xfId="18" xr:uid="{00000000-0005-0000-0000-000006000000}"/>
    <cellStyle name="40% - アクセント 2" xfId="19" xr:uid="{00000000-0005-0000-0000-000007000000}"/>
    <cellStyle name="40% - アクセント 3" xfId="20" xr:uid="{00000000-0005-0000-0000-000008000000}"/>
    <cellStyle name="40% - アクセント 4" xfId="21" xr:uid="{00000000-0005-0000-0000-000009000000}"/>
    <cellStyle name="40% - アクセント 5" xfId="22" xr:uid="{00000000-0005-0000-0000-00000A000000}"/>
    <cellStyle name="40% - アクセント 6" xfId="23" xr:uid="{00000000-0005-0000-0000-00000B000000}"/>
    <cellStyle name="60% - アクセント 1" xfId="24" xr:uid="{00000000-0005-0000-0000-00000C000000}"/>
    <cellStyle name="60% - アクセント 2" xfId="25" xr:uid="{00000000-0005-0000-0000-00000D000000}"/>
    <cellStyle name="60% - アクセント 3" xfId="26" xr:uid="{00000000-0005-0000-0000-00000E000000}"/>
    <cellStyle name="60% - アクセント 4" xfId="27" xr:uid="{00000000-0005-0000-0000-00000F000000}"/>
    <cellStyle name="60% - アクセント 5" xfId="28" xr:uid="{00000000-0005-0000-0000-000010000000}"/>
    <cellStyle name="60% - アクセント 6" xfId="29" xr:uid="{00000000-0005-0000-0000-000011000000}"/>
    <cellStyle name="Comma [0] 2" xfId="3" xr:uid="{00000000-0005-0000-0000-000012000000}"/>
    <cellStyle name="Normal 2" xfId="5" xr:uid="{00000000-0005-0000-0000-000013000000}"/>
    <cellStyle name="Normal 3" xfId="7" xr:uid="{00000000-0005-0000-0000-000014000000}"/>
    <cellStyle name="Normal 3 2" xfId="11" xr:uid="{00000000-0005-0000-0000-000015000000}"/>
    <cellStyle name="Percent 2" xfId="4" xr:uid="{00000000-0005-0000-0000-000016000000}"/>
    <cellStyle name="Percent 2 2" xfId="55" xr:uid="{00000000-0005-0000-0000-000017000000}"/>
    <cellStyle name="アクセント 1" xfId="30" xr:uid="{00000000-0005-0000-0000-000018000000}"/>
    <cellStyle name="アクセント 2" xfId="31" xr:uid="{00000000-0005-0000-0000-000019000000}"/>
    <cellStyle name="アクセント 3" xfId="32" xr:uid="{00000000-0005-0000-0000-00001A000000}"/>
    <cellStyle name="アクセント 4" xfId="33" xr:uid="{00000000-0005-0000-0000-00001B000000}"/>
    <cellStyle name="アクセント 5" xfId="34" xr:uid="{00000000-0005-0000-0000-00001C000000}"/>
    <cellStyle name="アクセント 6" xfId="35" xr:uid="{00000000-0005-0000-0000-00001D000000}"/>
    <cellStyle name="タイトル" xfId="36" xr:uid="{00000000-0005-0000-0000-00001E000000}"/>
    <cellStyle name="チェック セル" xfId="37" xr:uid="{00000000-0005-0000-0000-00001F000000}"/>
    <cellStyle name="どちらでもない" xfId="38" xr:uid="{00000000-0005-0000-0000-000020000000}"/>
    <cellStyle name="パーセント" xfId="1" builtinId="5"/>
    <cellStyle name="パーセント 2" xfId="8" xr:uid="{00000000-0005-0000-0000-000022000000}"/>
    <cellStyle name="メモ" xfId="39" xr:uid="{00000000-0005-0000-0000-000023000000}"/>
    <cellStyle name="リンク セル" xfId="40" xr:uid="{00000000-0005-0000-0000-000024000000}"/>
    <cellStyle name="悪い" xfId="41" xr:uid="{00000000-0005-0000-0000-000025000000}"/>
    <cellStyle name="計算" xfId="42" xr:uid="{00000000-0005-0000-0000-000026000000}"/>
    <cellStyle name="警告文" xfId="43" xr:uid="{00000000-0005-0000-0000-000027000000}"/>
    <cellStyle name="桁区切り" xfId="6" builtinId="6"/>
    <cellStyle name="桁区切り 2" xfId="9" xr:uid="{00000000-0005-0000-0000-000029000000}"/>
    <cellStyle name="見出し 1" xfId="44" xr:uid="{00000000-0005-0000-0000-00002A000000}"/>
    <cellStyle name="見出し 2" xfId="45" xr:uid="{00000000-0005-0000-0000-00002B000000}"/>
    <cellStyle name="見出し 3" xfId="46" xr:uid="{00000000-0005-0000-0000-00002C000000}"/>
    <cellStyle name="見出し 4" xfId="47" xr:uid="{00000000-0005-0000-0000-00002D000000}"/>
    <cellStyle name="集計" xfId="48" xr:uid="{00000000-0005-0000-0000-00002E000000}"/>
    <cellStyle name="出力" xfId="49" xr:uid="{00000000-0005-0000-0000-00002F000000}"/>
    <cellStyle name="説明文" xfId="50" xr:uid="{00000000-0005-0000-0000-000030000000}"/>
    <cellStyle name="入力" xfId="51" xr:uid="{00000000-0005-0000-0000-000031000000}"/>
    <cellStyle name="標準" xfId="0" builtinId="0"/>
    <cellStyle name="標準 2" xfId="10" xr:uid="{00000000-0005-0000-0000-000033000000}"/>
    <cellStyle name="標準_BGM Market data June01 10" xfId="52" xr:uid="{00000000-0005-0000-0000-000034000000}"/>
    <cellStyle name="標準_EXCEL演習10.14" xfId="2" xr:uid="{00000000-0005-0000-0000-000035000000}"/>
    <cellStyle name="標準_Intrinsic Value P238_lmm explain May22 2011" xfId="53" xr:uid="{00000000-0005-0000-0000-000036000000}"/>
    <cellStyle name="良い" xfId="54" xr:uid="{00000000-0005-0000-0000-00003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'8.1'!$A$5:$A$25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'8.1'!$D$5:$D$25</c:f>
              <c:numCache>
                <c:formatCode>0.00%</c:formatCode>
                <c:ptCount val="21"/>
                <c:pt idx="0">
                  <c:v>2.0000199998557712E-2</c:v>
                </c:pt>
                <c:pt idx="1">
                  <c:v>2.722321782289094E-2</c:v>
                </c:pt>
                <c:pt idx="2">
                  <c:v>3.1048804197547325E-2</c:v>
                </c:pt>
                <c:pt idx="3">
                  <c:v>3.3239058138853132E-2</c:v>
                </c:pt>
                <c:pt idx="4">
                  <c:v>3.4584306877252835E-2</c:v>
                </c:pt>
                <c:pt idx="5">
                  <c:v>3.546481372164291E-2</c:v>
                </c:pt>
                <c:pt idx="6">
                  <c:v>3.6074278849981441E-2</c:v>
                </c:pt>
                <c:pt idx="7">
                  <c:v>3.6516690327341235E-2</c:v>
                </c:pt>
                <c:pt idx="8">
                  <c:v>3.6850777427296012E-2</c:v>
                </c:pt>
                <c:pt idx="9">
                  <c:v>3.7111368052634611E-2</c:v>
                </c:pt>
                <c:pt idx="10">
                  <c:v>3.732008729410792E-2</c:v>
                </c:pt>
                <c:pt idx="11">
                  <c:v>3.7490940135132475E-2</c:v>
                </c:pt>
                <c:pt idx="12">
                  <c:v>3.7633345365362836E-2</c:v>
                </c:pt>
                <c:pt idx="13">
                  <c:v>3.7753851577861527E-2</c:v>
                </c:pt>
                <c:pt idx="14">
                  <c:v>3.7857145868350379E-2</c:v>
                </c:pt>
                <c:pt idx="15">
                  <c:v>3.7946668713007732E-2</c:v>
                </c:pt>
                <c:pt idx="16">
                  <c:v>3.8025001598160864E-2</c:v>
                </c:pt>
                <c:pt idx="17">
                  <c:v>3.8094118992903145E-2</c:v>
                </c:pt>
                <c:pt idx="18">
                  <c:v>3.8155556731616184E-2</c:v>
                </c:pt>
                <c:pt idx="19">
                  <c:v>3.8210527362765374E-2</c:v>
                </c:pt>
                <c:pt idx="20">
                  <c:v>3.8260000001896263E-2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B5-4B96-9AB6-3E6E89D93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54016"/>
        <c:axId val="203268480"/>
      </c:scatterChart>
      <c:valAx>
        <c:axId val="20325401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268480"/>
        <c:crosses val="autoZero"/>
        <c:crossBetween val="midCat"/>
      </c:valAx>
      <c:valAx>
        <c:axId val="203268480"/>
        <c:scaling>
          <c:orientation val="minMax"/>
          <c:max val="4.0000000000000008E-2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25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'8.1(2)'!$A$5:$A$25</c:f>
              <c:numCache>
                <c:formatCode>0.0</c:formatCode>
                <c:ptCount val="21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  <c:pt idx="20">
                  <c:v>10</c:v>
                </c:pt>
              </c:numCache>
            </c:numRef>
          </c:xVal>
          <c:yVal>
            <c:numRef>
              <c:f>'8.1(2)'!$D$5:$D$25</c:f>
              <c:numCache>
                <c:formatCode>0.00%</c:formatCode>
                <c:ptCount val="21"/>
                <c:pt idx="0">
                  <c:v>2.500149988934074E-2</c:v>
                </c:pt>
                <c:pt idx="1">
                  <c:v>3.038447426250708E-2</c:v>
                </c:pt>
                <c:pt idx="2">
                  <c:v>3.3210825646794451E-2</c:v>
                </c:pt>
                <c:pt idx="3">
                  <c:v>3.4822959937496775E-2</c:v>
                </c:pt>
                <c:pt idx="4">
                  <c:v>3.5811548075469463E-2</c:v>
                </c:pt>
                <c:pt idx="5">
                  <c:v>3.6458167390625337E-2</c:v>
                </c:pt>
                <c:pt idx="6">
                  <c:v>3.6905611661857574E-2</c:v>
                </c:pt>
                <c:pt idx="7">
                  <c:v>3.7230373004659527E-2</c:v>
                </c:pt>
                <c:pt idx="8">
                  <c:v>3.7475604903034934E-2</c:v>
                </c:pt>
                <c:pt idx="9">
                  <c:v>3.7666884443318942E-2</c:v>
                </c:pt>
                <c:pt idx="10">
                  <c:v>3.7820088422053894E-2</c:v>
                </c:pt>
                <c:pt idx="11">
                  <c:v>3.7945497696236986E-2</c:v>
                </c:pt>
                <c:pt idx="12">
                  <c:v>3.8050026025899214E-2</c:v>
                </c:pt>
                <c:pt idx="13">
                  <c:v>3.8138480198947632E-2</c:v>
                </c:pt>
                <c:pt idx="14">
                  <c:v>3.8214300591438474E-2</c:v>
                </c:pt>
                <c:pt idx="15">
                  <c:v>3.8280012539717564E-2</c:v>
                </c:pt>
                <c:pt idx="16">
                  <c:v>3.8337510875343414E-2</c:v>
                </c:pt>
                <c:pt idx="17">
                  <c:v>3.838824487680384E-2</c:v>
                </c:pt>
                <c:pt idx="18">
                  <c:v>3.843334186309269E-2</c:v>
                </c:pt>
                <c:pt idx="19">
                  <c:v>3.8473691859825819E-2</c:v>
                </c:pt>
                <c:pt idx="20">
                  <c:v>3.8510000001380974E-2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8B-422D-8B8A-2F0EBABFC5C4}"/>
            </c:ext>
          </c:extLst>
        </c:ser>
        <c:ser>
          <c:idx val="1"/>
          <c:order val="1"/>
          <c:tx>
            <c:v>r=2%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'8.1(2)'!$A$5:$A$25</c:f>
              <c:numCache>
                <c:formatCode>0.0</c:formatCode>
                <c:ptCount val="21"/>
                <c:pt idx="0">
                  <c:v>1E-4</c:v>
                </c:pt>
                <c:pt idx="1">
                  <c:v>0.50009999999999999</c:v>
                </c:pt>
                <c:pt idx="2">
                  <c:v>1.0001</c:v>
                </c:pt>
                <c:pt idx="3">
                  <c:v>1.5001</c:v>
                </c:pt>
                <c:pt idx="4">
                  <c:v>2.0000999999999998</c:v>
                </c:pt>
                <c:pt idx="5">
                  <c:v>2.5000999999999998</c:v>
                </c:pt>
                <c:pt idx="6">
                  <c:v>3.0000999999999998</c:v>
                </c:pt>
                <c:pt idx="7">
                  <c:v>3.5000999999999998</c:v>
                </c:pt>
                <c:pt idx="8">
                  <c:v>4.0000999999999998</c:v>
                </c:pt>
                <c:pt idx="9">
                  <c:v>4.5000999999999998</c:v>
                </c:pt>
                <c:pt idx="10">
                  <c:v>5.0000999999999998</c:v>
                </c:pt>
                <c:pt idx="11">
                  <c:v>5.5000999999999998</c:v>
                </c:pt>
                <c:pt idx="12">
                  <c:v>6.0000999999999998</c:v>
                </c:pt>
                <c:pt idx="13">
                  <c:v>6.5000999999999998</c:v>
                </c:pt>
                <c:pt idx="14">
                  <c:v>7.0000999999999998</c:v>
                </c:pt>
                <c:pt idx="15">
                  <c:v>7.5000999999999998</c:v>
                </c:pt>
                <c:pt idx="16">
                  <c:v>8.0000999999999998</c:v>
                </c:pt>
                <c:pt idx="17">
                  <c:v>8.5000999999999998</c:v>
                </c:pt>
                <c:pt idx="18">
                  <c:v>9.0000999999999998</c:v>
                </c:pt>
                <c:pt idx="19">
                  <c:v>9.5000999999999998</c:v>
                </c:pt>
                <c:pt idx="20">
                  <c:v>10</c:v>
                </c:pt>
              </c:numCache>
            </c:numRef>
          </c:xVal>
          <c:yVal>
            <c:numRef>
              <c:f>'8.1'!$D$5:$D$25</c:f>
              <c:numCache>
                <c:formatCode>0.00%</c:formatCode>
                <c:ptCount val="21"/>
                <c:pt idx="0">
                  <c:v>2.0000199998557712E-2</c:v>
                </c:pt>
                <c:pt idx="1">
                  <c:v>2.722321782289094E-2</c:v>
                </c:pt>
                <c:pt idx="2">
                  <c:v>3.1048804197547325E-2</c:v>
                </c:pt>
                <c:pt idx="3">
                  <c:v>3.3239058138853132E-2</c:v>
                </c:pt>
                <c:pt idx="4">
                  <c:v>3.4584306877252835E-2</c:v>
                </c:pt>
                <c:pt idx="5">
                  <c:v>3.546481372164291E-2</c:v>
                </c:pt>
                <c:pt idx="6">
                  <c:v>3.6074278849981441E-2</c:v>
                </c:pt>
                <c:pt idx="7">
                  <c:v>3.6516690327341235E-2</c:v>
                </c:pt>
                <c:pt idx="8">
                  <c:v>3.6850777427296012E-2</c:v>
                </c:pt>
                <c:pt idx="9">
                  <c:v>3.7111368052634611E-2</c:v>
                </c:pt>
                <c:pt idx="10">
                  <c:v>3.732008729410792E-2</c:v>
                </c:pt>
                <c:pt idx="11">
                  <c:v>3.7490940135132475E-2</c:v>
                </c:pt>
                <c:pt idx="12">
                  <c:v>3.7633345365362836E-2</c:v>
                </c:pt>
                <c:pt idx="13">
                  <c:v>3.7753851577861527E-2</c:v>
                </c:pt>
                <c:pt idx="14">
                  <c:v>3.7857145868350379E-2</c:v>
                </c:pt>
                <c:pt idx="15">
                  <c:v>3.7946668713007732E-2</c:v>
                </c:pt>
                <c:pt idx="16">
                  <c:v>3.8025001598160864E-2</c:v>
                </c:pt>
                <c:pt idx="17">
                  <c:v>3.8094118992903145E-2</c:v>
                </c:pt>
                <c:pt idx="18">
                  <c:v>3.8155556731616184E-2</c:v>
                </c:pt>
                <c:pt idx="19">
                  <c:v>3.8210527362765374E-2</c:v>
                </c:pt>
                <c:pt idx="20">
                  <c:v>3.8260000001896263E-2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8B-422D-8B8A-2F0EBABFC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352832"/>
        <c:axId val="343354752"/>
      </c:scatterChart>
      <c:valAx>
        <c:axId val="3433528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354752"/>
        <c:crosses val="autoZero"/>
        <c:crossBetween val="midCat"/>
      </c:valAx>
      <c:valAx>
        <c:axId val="343354752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35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'8.1(3)'!$A$5:$A$25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'8.1(3)'!$D$5:$D$25</c:f>
              <c:numCache>
                <c:formatCode>0.00%</c:formatCode>
                <c:ptCount val="21"/>
                <c:pt idx="0">
                  <c:v>2.0000029999939974E-2</c:v>
                </c:pt>
                <c:pt idx="1">
                  <c:v>2.1189089362965166E-2</c:v>
                </c:pt>
                <c:pt idx="2">
                  <c:v>2.1864261257933712E-2</c:v>
                </c:pt>
                <c:pt idx="3">
                  <c:v>2.2158569666895323E-2</c:v>
                </c:pt>
                <c:pt idx="4">
                  <c:v>2.2173650153239226E-2</c:v>
                </c:pt>
                <c:pt idx="5">
                  <c:v>2.1986988944405095E-2</c:v>
                </c:pt>
                <c:pt idx="6">
                  <c:v>2.1657495834718876E-2</c:v>
                </c:pt>
                <c:pt idx="7">
                  <c:v>2.1229796410623652E-2</c:v>
                </c:pt>
                <c:pt idx="8">
                  <c:v>2.0737539230698977E-2</c:v>
                </c:pt>
                <c:pt idx="9">
                  <c:v>2.0205944840713051E-2</c:v>
                </c:pt>
                <c:pt idx="10">
                  <c:v>1.9653770869813625E-2</c:v>
                </c:pt>
                <c:pt idx="11">
                  <c:v>1.909482712990309E-2</c:v>
                </c:pt>
                <c:pt idx="12">
                  <c:v>1.8539143724332421E-2</c:v>
                </c:pt>
                <c:pt idx="13">
                  <c:v>1.7993871451438794E-2</c:v>
                </c:pt>
                <c:pt idx="14">
                  <c:v>1.7463975574681018E-2</c:v>
                </c:pt>
                <c:pt idx="15">
                  <c:v>1.6952770035011229E-2</c:v>
                </c:pt>
                <c:pt idx="16">
                  <c:v>1.6462328417680576E-2</c:v>
                </c:pt>
                <c:pt idx="17">
                  <c:v>1.5993799701831745E-2</c:v>
                </c:pt>
                <c:pt idx="18">
                  <c:v>1.554765044080391E-2</c:v>
                </c:pt>
                <c:pt idx="19">
                  <c:v>1.5123850102913953E-2</c:v>
                </c:pt>
                <c:pt idx="20">
                  <c:v>1.4722020329594413E-2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E8-4C7B-9226-5538FE79C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38720"/>
        <c:axId val="203040640"/>
      </c:scatterChart>
      <c:valAx>
        <c:axId val="20303872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040640"/>
        <c:crosses val="autoZero"/>
        <c:crossBetween val="midCat"/>
      </c:valAx>
      <c:valAx>
        <c:axId val="203040640"/>
        <c:scaling>
          <c:orientation val="minMax"/>
          <c:max val="3.0000000000000006E-2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303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'8.1(4)'!$A$5:$A$25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'8.1(4)'!$D$5:$D$25</c:f>
              <c:numCache>
                <c:formatCode>0.00%</c:formatCode>
                <c:ptCount val="21"/>
                <c:pt idx="0">
                  <c:v>2.5000022499972109E-2</c:v>
                </c:pt>
                <c:pt idx="1">
                  <c:v>2.5832150024918538E-2</c:v>
                </c:pt>
                <c:pt idx="2">
                  <c:v>2.6183951423858896E-2</c:v>
                </c:pt>
                <c:pt idx="3">
                  <c:v>2.6184917949682463E-2</c:v>
                </c:pt>
                <c:pt idx="4">
                  <c:v>2.5933548106569566E-2</c:v>
                </c:pt>
                <c:pt idx="5">
                  <c:v>2.5504540636575111E-2</c:v>
                </c:pt>
                <c:pt idx="6">
                  <c:v>2.4954326845096346E-2</c:v>
                </c:pt>
                <c:pt idx="7">
                  <c:v>2.4325327093395594E-2</c:v>
                </c:pt>
                <c:pt idx="8">
                  <c:v>2.3649226500101962E-2</c:v>
                </c:pt>
                <c:pt idx="9">
                  <c:v>2.2949496214575642E-2</c:v>
                </c:pt>
                <c:pt idx="10">
                  <c:v>2.2243334054824079E-2</c:v>
                </c:pt>
                <c:pt idx="11">
                  <c:v>2.1543158034538136E-2</c:v>
                </c:pt>
                <c:pt idx="12">
                  <c:v>2.0857755436852716E-2</c:v>
                </c:pt>
                <c:pt idx="13">
                  <c:v>2.0193166414664648E-2</c:v>
                </c:pt>
                <c:pt idx="14">
                  <c:v>1.9553362921069933E-2</c:v>
                </c:pt>
                <c:pt idx="15">
                  <c:v>1.8940769810201159E-2</c:v>
                </c:pt>
                <c:pt idx="16">
                  <c:v>1.8356664214060913E-2</c:v>
                </c:pt>
                <c:pt idx="17">
                  <c:v>1.7801481042291921E-2</c:v>
                </c:pt>
                <c:pt idx="18">
                  <c:v>1.7275046093468902E-2</c:v>
                </c:pt>
                <c:pt idx="19">
                  <c:v>1.6776753367678698E-2</c:v>
                </c:pt>
                <c:pt idx="20">
                  <c:v>1.6305708548981307E-2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48-4FB5-BA82-2CF250229911}"/>
            </c:ext>
          </c:extLst>
        </c:ser>
        <c:ser>
          <c:idx val="1"/>
          <c:order val="1"/>
          <c:tx>
            <c:v>Original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'8.1(4)'!$A$5:$A$25</c:f>
              <c:numCache>
                <c:formatCode>0.0</c:formatCode>
                <c:ptCount val="21"/>
                <c:pt idx="0">
                  <c:v>1.0000000000000001E-5</c:v>
                </c:pt>
                <c:pt idx="1">
                  <c:v>0.50000999999999995</c:v>
                </c:pt>
                <c:pt idx="2">
                  <c:v>1.0000100000000001</c:v>
                </c:pt>
                <c:pt idx="3">
                  <c:v>1.5000100000000001</c:v>
                </c:pt>
                <c:pt idx="4">
                  <c:v>2.0000100000000001</c:v>
                </c:pt>
                <c:pt idx="5">
                  <c:v>2.5000100000000001</c:v>
                </c:pt>
                <c:pt idx="6">
                  <c:v>3.0000100000000001</c:v>
                </c:pt>
                <c:pt idx="7">
                  <c:v>3.5000100000000001</c:v>
                </c:pt>
                <c:pt idx="8">
                  <c:v>4.0000099999999996</c:v>
                </c:pt>
                <c:pt idx="9">
                  <c:v>4.5000099999999996</c:v>
                </c:pt>
                <c:pt idx="10">
                  <c:v>5.0000099999999996</c:v>
                </c:pt>
                <c:pt idx="11">
                  <c:v>5.5000099999999996</c:v>
                </c:pt>
                <c:pt idx="12">
                  <c:v>6.0000099999999996</c:v>
                </c:pt>
                <c:pt idx="13">
                  <c:v>6.5000099999999996</c:v>
                </c:pt>
                <c:pt idx="14">
                  <c:v>7.0000099999999996</c:v>
                </c:pt>
                <c:pt idx="15">
                  <c:v>7.5000099999999996</c:v>
                </c:pt>
                <c:pt idx="16">
                  <c:v>8.0000099999999996</c:v>
                </c:pt>
                <c:pt idx="17">
                  <c:v>8.5000099999999996</c:v>
                </c:pt>
                <c:pt idx="18">
                  <c:v>9.0000099999999996</c:v>
                </c:pt>
                <c:pt idx="19">
                  <c:v>9.5000099999999996</c:v>
                </c:pt>
                <c:pt idx="20">
                  <c:v>10</c:v>
                </c:pt>
              </c:numCache>
            </c:numRef>
          </c:xVal>
          <c:yVal>
            <c:numRef>
              <c:f>'8.1(3)'!$D$5:$D$25</c:f>
              <c:numCache>
                <c:formatCode>0.00%</c:formatCode>
                <c:ptCount val="21"/>
                <c:pt idx="0">
                  <c:v>2.0000029999939974E-2</c:v>
                </c:pt>
                <c:pt idx="1">
                  <c:v>2.1189089362965166E-2</c:v>
                </c:pt>
                <c:pt idx="2">
                  <c:v>2.1864261257933712E-2</c:v>
                </c:pt>
                <c:pt idx="3">
                  <c:v>2.2158569666895323E-2</c:v>
                </c:pt>
                <c:pt idx="4">
                  <c:v>2.2173650153239226E-2</c:v>
                </c:pt>
                <c:pt idx="5">
                  <c:v>2.1986988944405095E-2</c:v>
                </c:pt>
                <c:pt idx="6">
                  <c:v>2.1657495834718876E-2</c:v>
                </c:pt>
                <c:pt idx="7">
                  <c:v>2.1229796410623652E-2</c:v>
                </c:pt>
                <c:pt idx="8">
                  <c:v>2.0737539230698977E-2</c:v>
                </c:pt>
                <c:pt idx="9">
                  <c:v>2.0205944840713051E-2</c:v>
                </c:pt>
                <c:pt idx="10">
                  <c:v>1.9653770869813625E-2</c:v>
                </c:pt>
                <c:pt idx="11">
                  <c:v>1.909482712990309E-2</c:v>
                </c:pt>
                <c:pt idx="12">
                  <c:v>1.8539143724332421E-2</c:v>
                </c:pt>
                <c:pt idx="13">
                  <c:v>1.7993871451438794E-2</c:v>
                </c:pt>
                <c:pt idx="14">
                  <c:v>1.7463975574681018E-2</c:v>
                </c:pt>
                <c:pt idx="15">
                  <c:v>1.6952770035011229E-2</c:v>
                </c:pt>
                <c:pt idx="16">
                  <c:v>1.6462328417680576E-2</c:v>
                </c:pt>
                <c:pt idx="17">
                  <c:v>1.5993799701831745E-2</c:v>
                </c:pt>
                <c:pt idx="18">
                  <c:v>1.554765044080391E-2</c:v>
                </c:pt>
                <c:pt idx="19">
                  <c:v>1.5123850102913953E-2</c:v>
                </c:pt>
                <c:pt idx="20">
                  <c:v>1.4722020329594413E-2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48-4FB5-BA82-2CF250229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288448"/>
        <c:axId val="343294720"/>
      </c:scatterChart>
      <c:valAx>
        <c:axId val="3432884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294720"/>
        <c:crosses val="autoZero"/>
        <c:crossBetween val="midCat"/>
      </c:valAx>
      <c:valAx>
        <c:axId val="343294720"/>
        <c:scaling>
          <c:orientation val="minMax"/>
          <c:max val="3.0000000000000006E-2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32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Ref>
              <c:f>'8.2'!$A$5:$A$24</c:f>
              <c:numCache>
                <c:formatCode>0.0_ 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'8.2'!$F$5:$F$24</c:f>
              <c:numCache>
                <c:formatCode>0.000%</c:formatCode>
                <c:ptCount val="20"/>
                <c:pt idx="0">
                  <c:v>3.4309411572427976E-3</c:v>
                </c:pt>
                <c:pt idx="1">
                  <c:v>3.3726811002608818E-3</c:v>
                </c:pt>
                <c:pt idx="2">
                  <c:v>3.4261220053531296E-3</c:v>
                </c:pt>
                <c:pt idx="3">
                  <c:v>3.409598985004546E-3</c:v>
                </c:pt>
                <c:pt idx="4">
                  <c:v>3.5246837315021763E-3</c:v>
                </c:pt>
                <c:pt idx="5">
                  <c:v>3.6165483716812156E-3</c:v>
                </c:pt>
                <c:pt idx="6">
                  <c:v>3.8043588196196533E-3</c:v>
                </c:pt>
                <c:pt idx="7">
                  <c:v>3.9916983805197192E-3</c:v>
                </c:pt>
                <c:pt idx="8">
                  <c:v>4.2995490373711294E-3</c:v>
                </c:pt>
                <c:pt idx="9">
                  <c:v>4.5931409109515996E-3</c:v>
                </c:pt>
                <c:pt idx="10">
                  <c:v>5.0330227711402218E-3</c:v>
                </c:pt>
                <c:pt idx="11">
                  <c:v>5.455142982464964E-3</c:v>
                </c:pt>
                <c:pt idx="12">
                  <c:v>5.9989936888411874E-3</c:v>
                </c:pt>
                <c:pt idx="13">
                  <c:v>6.5214712443184839E-3</c:v>
                </c:pt>
                <c:pt idx="14">
                  <c:v>7.1435936776963584E-3</c:v>
                </c:pt>
                <c:pt idx="15">
                  <c:v>7.7237876195564333E-3</c:v>
                </c:pt>
                <c:pt idx="16">
                  <c:v>8.3620217667243948E-3</c:v>
                </c:pt>
                <c:pt idx="17">
                  <c:v>8.9914086741416065E-3</c:v>
                </c:pt>
                <c:pt idx="18">
                  <c:v>9.6195044486641346E-3</c:v>
                </c:pt>
                <c:pt idx="19">
                  <c:v>1.0225534170441196E-2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F-40F9-8FC7-61EC402B9F1D}"/>
            </c:ext>
          </c:extLst>
        </c:ser>
        <c:ser>
          <c:idx val="1"/>
          <c:order val="1"/>
          <c:marker>
            <c:symbol val="none"/>
          </c:marker>
          <c:cat>
            <c:numRef>
              <c:f>'8.2'!$A$5:$A$24</c:f>
              <c:numCache>
                <c:formatCode>0.0_ 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'8.2'!$H$5:$H$24</c:f>
              <c:numCache>
                <c:formatCode>0.000%</c:formatCode>
                <c:ptCount val="20"/>
                <c:pt idx="0">
                  <c:v>1.0701251155185981E-3</c:v>
                </c:pt>
                <c:pt idx="1">
                  <c:v>1.4763194237752087E-3</c:v>
                </c:pt>
                <c:pt idx="2">
                  <c:v>1.8723823256499891E-3</c:v>
                </c:pt>
                <c:pt idx="3">
                  <c:v>2.1126019098594651E-3</c:v>
                </c:pt>
                <c:pt idx="4">
                  <c:v>2.4231857298508547E-3</c:v>
                </c:pt>
                <c:pt idx="5">
                  <c:v>2.6663354400490794E-3</c:v>
                </c:pt>
                <c:pt idx="6">
                  <c:v>2.97309943398164E-3</c:v>
                </c:pt>
                <c:pt idx="7">
                  <c:v>3.2554351096862697E-3</c:v>
                </c:pt>
                <c:pt idx="8">
                  <c:v>3.6402883683966242E-3</c:v>
                </c:pt>
                <c:pt idx="9">
                  <c:v>3.997183679151051E-3</c:v>
                </c:pt>
                <c:pt idx="10">
                  <c:v>4.4897973737430203E-3</c:v>
                </c:pt>
                <c:pt idx="11">
                  <c:v>4.9563823585532978E-3</c:v>
                </c:pt>
                <c:pt idx="12">
                  <c:v>5.5381491223148692E-3</c:v>
                </c:pt>
                <c:pt idx="13">
                  <c:v>6.0932906223037219E-3</c:v>
                </c:pt>
                <c:pt idx="14">
                  <c:v>6.7438149114444172E-3</c:v>
                </c:pt>
                <c:pt idx="15">
                  <c:v>7.3489134180418966E-3</c:v>
                </c:pt>
                <c:pt idx="16">
                  <c:v>8.0091524026193392E-3</c:v>
                </c:pt>
                <c:pt idx="17">
                  <c:v>8.6581164774096366E-3</c:v>
                </c:pt>
                <c:pt idx="18">
                  <c:v>9.3037386123998884E-3</c:v>
                </c:pt>
                <c:pt idx="19">
                  <c:v>9.925547790420125E-3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DF-40F9-8FC7-61EC402B9F1D}"/>
            </c:ext>
          </c:extLst>
        </c:ser>
        <c:ser>
          <c:idx val="2"/>
          <c:order val="2"/>
          <c:spPr>
            <a:ln>
              <a:solidFill>
                <a:schemeClr val="tx1">
                  <a:lumMod val="75000"/>
                  <a:lumOff val="2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'8.2'!$A$5:$A$24</c:f>
              <c:numCache>
                <c:formatCode>0.0_ 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'8.2'!$I$5:$I$24</c:f>
              <c:numCache>
                <c:formatCode>0.000%</c:formatCode>
                <c:ptCount val="20"/>
                <c:pt idx="0">
                  <c:v>5.7917571989669972E-3</c:v>
                </c:pt>
                <c:pt idx="1">
                  <c:v>5.2690427767465549E-3</c:v>
                </c:pt>
                <c:pt idx="2">
                  <c:v>4.9798616850562699E-3</c:v>
                </c:pt>
                <c:pt idx="3">
                  <c:v>4.706596060149627E-3</c:v>
                </c:pt>
                <c:pt idx="4">
                  <c:v>4.626181733153498E-3</c:v>
                </c:pt>
                <c:pt idx="5">
                  <c:v>4.5667613033133518E-3</c:v>
                </c:pt>
                <c:pt idx="6">
                  <c:v>4.6356182052576661E-3</c:v>
                </c:pt>
                <c:pt idx="7">
                  <c:v>4.7279616513531686E-3</c:v>
                </c:pt>
                <c:pt idx="8">
                  <c:v>4.9588097063456337E-3</c:v>
                </c:pt>
                <c:pt idx="9">
                  <c:v>5.1890981427521483E-3</c:v>
                </c:pt>
                <c:pt idx="10">
                  <c:v>5.5762481685374234E-3</c:v>
                </c:pt>
                <c:pt idx="11">
                  <c:v>5.9539036063766303E-3</c:v>
                </c:pt>
                <c:pt idx="12">
                  <c:v>6.4598382553675057E-3</c:v>
                </c:pt>
                <c:pt idx="13">
                  <c:v>6.9496518663332467E-3</c:v>
                </c:pt>
                <c:pt idx="14">
                  <c:v>7.5433724439482996E-3</c:v>
                </c:pt>
                <c:pt idx="15">
                  <c:v>8.0986618210709699E-3</c:v>
                </c:pt>
                <c:pt idx="16">
                  <c:v>8.7148911308294504E-3</c:v>
                </c:pt>
                <c:pt idx="17">
                  <c:v>9.3247008708735781E-3</c:v>
                </c:pt>
                <c:pt idx="18">
                  <c:v>9.9352702849283808E-3</c:v>
                </c:pt>
                <c:pt idx="19">
                  <c:v>1.0525520550462266E-2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DF-40F9-8FC7-61EC402B9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19712"/>
        <c:axId val="344021248"/>
      </c:lineChart>
      <c:catAx>
        <c:axId val="344019712"/>
        <c:scaling>
          <c:orientation val="minMax"/>
        </c:scaling>
        <c:delete val="0"/>
        <c:axPos val="b"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 sz="1200"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ja-JP"/>
          </a:p>
        </c:txPr>
        <c:crossAx val="3440212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4021248"/>
        <c:scaling>
          <c:orientation val="minMax"/>
          <c:max val="1.4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lang="ja-JP" sz="1200"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ja-JP"/>
          </a:p>
        </c:txPr>
        <c:crossAx val="344019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194828</xdr:colOff>
      <xdr:row>2</xdr:row>
      <xdr:rowOff>169720</xdr:rowOff>
    </xdr:from>
    <xdr:to>
      <xdr:col>12</xdr:col>
      <xdr:colOff>71003</xdr:colOff>
      <xdr:row>17</xdr:row>
      <xdr:rowOff>179244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4</xdr:row>
      <xdr:rowOff>23811</xdr:rowOff>
    </xdr:from>
    <xdr:to>
      <xdr:col>10</xdr:col>
      <xdr:colOff>57150</xdr:colOff>
      <xdr:row>18</xdr:row>
      <xdr:rowOff>180974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33337</xdr:rowOff>
    </xdr:from>
    <xdr:to>
      <xdr:col>10</xdr:col>
      <xdr:colOff>142875</xdr:colOff>
      <xdr:row>19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66674</xdr:colOff>
      <xdr:row>4</xdr:row>
      <xdr:rowOff>33336</xdr:rowOff>
    </xdr:from>
    <xdr:to>
      <xdr:col>10</xdr:col>
      <xdr:colOff>38099</xdr:colOff>
      <xdr:row>18</xdr:row>
      <xdr:rowOff>190499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273844</xdr:colOff>
      <xdr:row>5</xdr:row>
      <xdr:rowOff>102394</xdr:rowOff>
    </xdr:from>
    <xdr:to>
      <xdr:col>18</xdr:col>
      <xdr:colOff>73819</xdr:colOff>
      <xdr:row>21</xdr:row>
      <xdr:rowOff>126206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8</xdr:colOff>
      <xdr:row>10</xdr:row>
      <xdr:rowOff>4762</xdr:rowOff>
    </xdr:from>
    <xdr:ext cx="5694700" cy="425758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" y="1782762"/>
          <a:ext cx="5694700" cy="425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行目式  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C10</a:t>
          </a:r>
          <a:r>
            <a:rPr kumimoji="1" lang="ja-JP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ｾﾙ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BB(A4,A10,E2)    D10</a:t>
          </a:r>
          <a:r>
            <a:rPr kumimoji="1" lang="ja-JP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ｾﾙ</a:t>
          </a:r>
          <a:r>
            <a:rPr kumimoji="1" lang="en-US" altLang="ja-JP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AA(A4,A10,E2)    </a:t>
          </a:r>
        </a:p>
        <a:p>
          <a:r>
            <a:rPr kumimoji="1" lang="en-US" altLang="ja-JP" sz="1000"/>
            <a:t>                           </a:t>
          </a:r>
          <a:r>
            <a:rPr kumimoji="1" lang="ja-JP" altLang="en-US" sz="1000"/>
            <a:t>             </a:t>
          </a:r>
          <a:r>
            <a:rPr kumimoji="1" lang="en-US" altLang="ja-JP" sz="1000"/>
            <a:t>E10</a:t>
          </a:r>
          <a:r>
            <a:rPr kumimoji="1" lang="ja-JP" altLang="en-US" sz="1000"/>
            <a:t>ｾﾙ</a:t>
          </a:r>
          <a:r>
            <a:rPr kumimoji="1" lang="en-US" altLang="ja-JP" sz="1000"/>
            <a:t> = B10/B4*exp(D10-C10* F2 )      F10</a:t>
          </a:r>
          <a:r>
            <a:rPr kumimoji="1" lang="ja-JP" altLang="en-US" sz="1000"/>
            <a:t>ｾﾙ</a:t>
          </a:r>
          <a:r>
            <a:rPr kumimoji="1" lang="en-US" altLang="ja-JP" sz="1000"/>
            <a:t> = -[</a:t>
          </a:r>
          <a:r>
            <a:rPr kumimoji="1" lang="en-US" altLang="ja-JP" sz="1000" baseline="0"/>
            <a:t> </a:t>
          </a:r>
          <a:r>
            <a:rPr kumimoji="1" lang="en-US" altLang="ja-JP" sz="1000"/>
            <a:t>LN(B10/B4)+D10-C10 * F2 ] /A10</a:t>
          </a:r>
          <a:endParaRPr kumimoji="1" lang="ja-JP" altLang="en-US" sz="10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7</xdr:row>
      <xdr:rowOff>69850</xdr:rowOff>
    </xdr:from>
    <xdr:to>
      <xdr:col>19</xdr:col>
      <xdr:colOff>488950</xdr:colOff>
      <xdr:row>9</xdr:row>
      <xdr:rowOff>82550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13D301D-313A-7674-BD39-CF86BBAD498C}"/>
            </a:ext>
          </a:extLst>
        </xdr:cNvPr>
        <xdr:cNvSpPr txBox="1"/>
      </xdr:nvSpPr>
      <xdr:spPr>
        <a:xfrm>
          <a:off x="6343650" y="1181100"/>
          <a:ext cx="4413250" cy="33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↑ </a:t>
          </a:r>
          <a:r>
            <a:rPr kumimoji="1" lang="en-US" altLang="ja-JP" sz="1100"/>
            <a:t>L7=T7</a:t>
          </a:r>
          <a:r>
            <a:rPr kumimoji="1" lang="ja-JP" altLang="en-US" sz="1100"/>
            <a:t>となるようにゴールシークさせている </a:t>
          </a:r>
        </a:p>
      </xdr:txBody>
    </xdr:sp>
    <xdr:clientData/>
  </xdr:twoCellAnchor>
  <xdr:twoCellAnchor>
    <xdr:from>
      <xdr:col>0</xdr:col>
      <xdr:colOff>114300</xdr:colOff>
      <xdr:row>9</xdr:row>
      <xdr:rowOff>139700</xdr:rowOff>
    </xdr:from>
    <xdr:to>
      <xdr:col>19</xdr:col>
      <xdr:colOff>73942</xdr:colOff>
      <xdr:row>46</xdr:row>
      <xdr:rowOff>158197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4EAF65FA-267E-E5D9-53D6-FDF42F9365D3}"/>
            </a:ext>
          </a:extLst>
        </xdr:cNvPr>
        <xdr:cNvGrpSpPr/>
      </xdr:nvGrpSpPr>
      <xdr:grpSpPr>
        <a:xfrm>
          <a:off x="114300" y="1568450"/>
          <a:ext cx="10227592" cy="5892247"/>
          <a:chOff x="114300" y="1568450"/>
          <a:chExt cx="10087892" cy="5892247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8B9E8BBA-2C57-497D-A70F-25ABC202AF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4300" y="1568450"/>
            <a:ext cx="6694762" cy="4197238"/>
          </a:xfrm>
          <a:prstGeom prst="rect">
            <a:avLst/>
          </a:prstGeom>
        </xdr:spPr>
      </xdr:pic>
      <xdr:pic>
        <xdr:nvPicPr>
          <xdr:cNvPr id="4" name="図 3">
            <a:extLst>
              <a:ext uri="{FF2B5EF4-FFF2-40B4-BE49-F238E27FC236}">
                <a16:creationId xmlns:a16="http://schemas.microsoft.com/office/drawing/2014/main" id="{29BB3E48-2C42-4CD0-9C82-67E6D7D4A1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46050" y="5867400"/>
            <a:ext cx="6723334" cy="1589555"/>
          </a:xfrm>
          <a:prstGeom prst="rect">
            <a:avLst/>
          </a:prstGeom>
        </xdr:spPr>
      </xdr:pic>
      <xdr:pic>
        <xdr:nvPicPr>
          <xdr:cNvPr id="5" name="図 4">
            <a:extLst>
              <a:ext uri="{FF2B5EF4-FFF2-40B4-BE49-F238E27FC236}">
                <a16:creationId xmlns:a16="http://schemas.microsoft.com/office/drawing/2014/main" id="{30987B17-C2DC-4FD2-B0BD-7B3F9F818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750050" y="6724650"/>
            <a:ext cx="3452142" cy="736047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101600</xdr:colOff>
      <xdr:row>8</xdr:row>
      <xdr:rowOff>63500</xdr:rowOff>
    </xdr:from>
    <xdr:to>
      <xdr:col>23</xdr:col>
      <xdr:colOff>450850</xdr:colOff>
      <xdr:row>10</xdr:row>
      <xdr:rowOff>57150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61732D1-4569-42BD-BABE-947547A15195}"/>
            </a:ext>
          </a:extLst>
        </xdr:cNvPr>
        <xdr:cNvSpPr txBox="1"/>
      </xdr:nvSpPr>
      <xdr:spPr>
        <a:xfrm>
          <a:off x="10941050" y="1333500"/>
          <a:ext cx="2273300" cy="311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↑ ソルバーで</a:t>
          </a:r>
          <a:r>
            <a:rPr kumimoji="1" lang="en-US" altLang="ja-JP" sz="1100"/>
            <a:t>U8</a:t>
          </a:r>
          <a:r>
            <a:rPr kumimoji="1" lang="ja-JP" altLang="en-US" sz="1100"/>
            <a:t>セルを最小にした</a:t>
          </a:r>
        </a:p>
      </xdr:txBody>
    </xdr:sp>
    <xdr:clientData/>
  </xdr:twoCellAnchor>
  <xdr:twoCellAnchor>
    <xdr:from>
      <xdr:col>0</xdr:col>
      <xdr:colOff>114300</xdr:colOff>
      <xdr:row>9</xdr:row>
      <xdr:rowOff>139700</xdr:rowOff>
    </xdr:from>
    <xdr:to>
      <xdr:col>19</xdr:col>
      <xdr:colOff>73942</xdr:colOff>
      <xdr:row>46</xdr:row>
      <xdr:rowOff>158197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71EFAED0-2595-4142-B385-D4AD24E253ED}"/>
            </a:ext>
          </a:extLst>
        </xdr:cNvPr>
        <xdr:cNvGrpSpPr/>
      </xdr:nvGrpSpPr>
      <xdr:grpSpPr>
        <a:xfrm>
          <a:off x="114300" y="1568450"/>
          <a:ext cx="10227592" cy="5892247"/>
          <a:chOff x="114300" y="1568450"/>
          <a:chExt cx="10087892" cy="5892247"/>
        </a:xfrm>
      </xdr:grpSpPr>
      <xdr:pic>
        <xdr:nvPicPr>
          <xdr:cNvPr id="4" name="図 3">
            <a:extLst>
              <a:ext uri="{FF2B5EF4-FFF2-40B4-BE49-F238E27FC236}">
                <a16:creationId xmlns:a16="http://schemas.microsoft.com/office/drawing/2014/main" id="{79B13507-2833-4088-0CBC-0E1BB2A8A3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4300" y="1568450"/>
            <a:ext cx="6694762" cy="4197238"/>
          </a:xfrm>
          <a:prstGeom prst="rect">
            <a:avLst/>
          </a:prstGeom>
        </xdr:spPr>
      </xdr:pic>
      <xdr:pic>
        <xdr:nvPicPr>
          <xdr:cNvPr id="5" name="図 4">
            <a:extLst>
              <a:ext uri="{FF2B5EF4-FFF2-40B4-BE49-F238E27FC236}">
                <a16:creationId xmlns:a16="http://schemas.microsoft.com/office/drawing/2014/main" id="{4BB107C7-76ED-C48C-AF31-4AF7309C3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46050" y="5867400"/>
            <a:ext cx="6723334" cy="1589555"/>
          </a:xfrm>
          <a:prstGeom prst="rect">
            <a:avLst/>
          </a:prstGeom>
        </xdr:spPr>
      </xdr:pic>
      <xdr:pic>
        <xdr:nvPicPr>
          <xdr:cNvPr id="6" name="図 5">
            <a:extLst>
              <a:ext uri="{FF2B5EF4-FFF2-40B4-BE49-F238E27FC236}">
                <a16:creationId xmlns:a16="http://schemas.microsoft.com/office/drawing/2014/main" id="{ADDE2C9E-75EC-A8F2-5948-5EEEA9FE73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750050" y="6724650"/>
            <a:ext cx="3452142" cy="736047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542925</xdr:colOff>
      <xdr:row>5</xdr:row>
      <xdr:rowOff>38100</xdr:rowOff>
    </xdr:from>
    <xdr:ext cx="1371600" cy="39052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2505075" y="809625"/>
          <a:ext cx="1371600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900"/>
            <a:t>AA9</a:t>
          </a:r>
          <a:r>
            <a:rPr kumimoji="1" lang="ja-JP" altLang="en-US" sz="900"/>
            <a:t>ｾﾙ   </a:t>
          </a:r>
          <a:r>
            <a:rPr kumimoji="1" lang="en-US" altLang="ja-JP" sz="900"/>
            <a:t>= SQRT(0.5*</a:t>
          </a:r>
          <a:br>
            <a:rPr kumimoji="1" lang="en-US" altLang="ja-JP" sz="900"/>
          </a:br>
          <a:r>
            <a:rPr kumimoji="1" lang="ja-JP" altLang="en-US" sz="900"/>
            <a:t>          </a:t>
          </a:r>
          <a:r>
            <a:rPr kumimoji="1" lang="en-US" altLang="ja-JP" sz="900"/>
            <a:t>AD1^2*Z9*V9^2)</a:t>
          </a:r>
        </a:p>
      </xdr:txBody>
    </xdr:sp>
    <xdr:clientData/>
  </xdr:oneCellAnchor>
  <xdr:oneCellAnchor>
    <xdr:from>
      <xdr:col>29</xdr:col>
      <xdr:colOff>295275</xdr:colOff>
      <xdr:row>5</xdr:row>
      <xdr:rowOff>38100</xdr:rowOff>
    </xdr:from>
    <xdr:ext cx="1158907" cy="383246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5238750" y="809625"/>
          <a:ext cx="1158907" cy="383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900"/>
            <a:t>AF9</a:t>
          </a:r>
          <a:r>
            <a:rPr kumimoji="1" lang="ja-JP" altLang="en-US" sz="900"/>
            <a:t>ｾﾙ </a:t>
          </a:r>
          <a:r>
            <a:rPr kumimoji="1" lang="en-US" altLang="ja-JP" sz="900"/>
            <a:t>= B7*X9*AE9</a:t>
          </a:r>
        </a:p>
        <a:p>
          <a:r>
            <a:rPr kumimoji="1" lang="ja-JP" altLang="en-US" sz="900"/>
            <a:t>                </a:t>
          </a:r>
          <a:r>
            <a:rPr kumimoji="1" lang="en-US" altLang="ja-JP" sz="900"/>
            <a:t>-B9*AD9</a:t>
          </a:r>
        </a:p>
      </xdr:txBody>
    </xdr:sp>
    <xdr:clientData/>
  </xdr:oneCellAnchor>
  <xdr:oneCellAnchor>
    <xdr:from>
      <xdr:col>5</xdr:col>
      <xdr:colOff>533400</xdr:colOff>
      <xdr:row>5</xdr:row>
      <xdr:rowOff>57150</xdr:rowOff>
    </xdr:from>
    <xdr:ext cx="1133476" cy="3905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1466850" y="828675"/>
          <a:ext cx="1133476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900"/>
            <a:t>Z9</a:t>
          </a:r>
          <a:r>
            <a:rPr kumimoji="1" lang="ja-JP" altLang="en-US" sz="900"/>
            <a:t>ｾﾙ </a:t>
          </a:r>
          <a:r>
            <a:rPr kumimoji="1" lang="en-US" altLang="ja-JP" sz="900"/>
            <a:t>=</a:t>
          </a:r>
          <a:r>
            <a:rPr kumimoji="1" lang="ja-JP" altLang="en-US" sz="900"/>
            <a:t> </a:t>
          </a:r>
          <a:r>
            <a:rPr kumimoji="1" lang="en-US" altLang="ja-JP" sz="900"/>
            <a:t>B_(0,2*A7)</a:t>
          </a:r>
        </a:p>
      </xdr:txBody>
    </xdr:sp>
    <xdr:clientData/>
  </xdr:oneCellAnchor>
  <xdr:oneCellAnchor>
    <xdr:from>
      <xdr:col>27</xdr:col>
      <xdr:colOff>19050</xdr:colOff>
      <xdr:row>5</xdr:row>
      <xdr:rowOff>38100</xdr:rowOff>
    </xdr:from>
    <xdr:ext cx="1410643" cy="3905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 txBox="1"/>
      </xdr:nvSpPr>
      <xdr:spPr>
        <a:xfrm>
          <a:off x="3771900" y="809625"/>
          <a:ext cx="1410643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en-US" altLang="ja-JP" sz="900"/>
            <a:t>AB9</a:t>
          </a:r>
          <a:r>
            <a:rPr kumimoji="1" lang="ja-JP" altLang="en-US" sz="900"/>
            <a:t>ｾﾙ   </a:t>
          </a:r>
          <a:r>
            <a:rPr kumimoji="1" lang="en-US" altLang="ja-JP" sz="900"/>
            <a:t>=</a:t>
          </a:r>
          <a:r>
            <a:rPr kumimoji="1" lang="ja-JP" altLang="en-US" sz="900"/>
            <a:t> </a:t>
          </a:r>
          <a:r>
            <a:rPr kumimoji="1" lang="en-US" altLang="ja-JP" sz="900"/>
            <a:t>LN(B9/(B7*X9))</a:t>
          </a:r>
        </a:p>
        <a:p>
          <a:r>
            <a:rPr kumimoji="1" lang="ja-JP" altLang="en-US" sz="900"/>
            <a:t>            </a:t>
          </a:r>
          <a:r>
            <a:rPr kumimoji="1" lang="en-US" altLang="ja-JP" sz="900"/>
            <a:t>/AA9+AA9/2</a:t>
          </a:r>
          <a:br>
            <a:rPr kumimoji="1" lang="en-US" altLang="ja-JP" sz="900"/>
          </a:br>
          <a:endParaRPr lang="ja-JP" altLang="ja-JP" sz="900">
            <a:effectLst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542925</xdr:colOff>
      <xdr:row>5</xdr:row>
      <xdr:rowOff>38100</xdr:rowOff>
    </xdr:from>
    <xdr:ext cx="1371600" cy="39052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2505075" y="809625"/>
          <a:ext cx="1371600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900"/>
            <a:t>AA9</a:t>
          </a:r>
          <a:r>
            <a:rPr kumimoji="1" lang="ja-JP" altLang="en-US" sz="900"/>
            <a:t>ｾﾙ   </a:t>
          </a:r>
          <a:r>
            <a:rPr kumimoji="1" lang="en-US" altLang="ja-JP" sz="900"/>
            <a:t>= SQRT(0.5*</a:t>
          </a:r>
          <a:br>
            <a:rPr kumimoji="1" lang="en-US" altLang="ja-JP" sz="900"/>
          </a:br>
          <a:r>
            <a:rPr kumimoji="1" lang="ja-JP" altLang="en-US" sz="900"/>
            <a:t>          </a:t>
          </a:r>
          <a:r>
            <a:rPr kumimoji="1" lang="en-US" altLang="ja-JP" sz="900"/>
            <a:t>AD1^2*Z9*V9^2)</a:t>
          </a:r>
        </a:p>
      </xdr:txBody>
    </xdr:sp>
    <xdr:clientData/>
  </xdr:oneCellAnchor>
  <xdr:oneCellAnchor>
    <xdr:from>
      <xdr:col>29</xdr:col>
      <xdr:colOff>295275</xdr:colOff>
      <xdr:row>5</xdr:row>
      <xdr:rowOff>38100</xdr:rowOff>
    </xdr:from>
    <xdr:ext cx="1158907" cy="383246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238750" y="809625"/>
          <a:ext cx="1158907" cy="383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900"/>
            <a:t>AF9</a:t>
          </a:r>
          <a:r>
            <a:rPr kumimoji="1" lang="ja-JP" altLang="en-US" sz="900"/>
            <a:t>ｾﾙ </a:t>
          </a:r>
          <a:r>
            <a:rPr kumimoji="1" lang="en-US" altLang="ja-JP" sz="900"/>
            <a:t>= B7*X9*AE9</a:t>
          </a:r>
        </a:p>
        <a:p>
          <a:r>
            <a:rPr kumimoji="1" lang="ja-JP" altLang="en-US" sz="900"/>
            <a:t>                </a:t>
          </a:r>
          <a:r>
            <a:rPr kumimoji="1" lang="en-US" altLang="ja-JP" sz="900"/>
            <a:t>-B9*AD9</a:t>
          </a:r>
        </a:p>
      </xdr:txBody>
    </xdr:sp>
    <xdr:clientData/>
  </xdr:oneCellAnchor>
  <xdr:oneCellAnchor>
    <xdr:from>
      <xdr:col>5</xdr:col>
      <xdr:colOff>533400</xdr:colOff>
      <xdr:row>5</xdr:row>
      <xdr:rowOff>57150</xdr:rowOff>
    </xdr:from>
    <xdr:ext cx="1133476" cy="390525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466850" y="828675"/>
          <a:ext cx="1133476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900"/>
            <a:t>Z9</a:t>
          </a:r>
          <a:r>
            <a:rPr kumimoji="1" lang="ja-JP" altLang="en-US" sz="900"/>
            <a:t>ｾﾙ </a:t>
          </a:r>
          <a:r>
            <a:rPr kumimoji="1" lang="en-US" altLang="ja-JP" sz="900"/>
            <a:t>=</a:t>
          </a:r>
          <a:r>
            <a:rPr kumimoji="1" lang="ja-JP" altLang="en-US" sz="900"/>
            <a:t> </a:t>
          </a:r>
          <a:r>
            <a:rPr kumimoji="1" lang="en-US" altLang="ja-JP" sz="900"/>
            <a:t>B_(0,2*A7)</a:t>
          </a:r>
        </a:p>
      </xdr:txBody>
    </xdr:sp>
    <xdr:clientData/>
  </xdr:oneCellAnchor>
  <xdr:oneCellAnchor>
    <xdr:from>
      <xdr:col>27</xdr:col>
      <xdr:colOff>19050</xdr:colOff>
      <xdr:row>5</xdr:row>
      <xdr:rowOff>38100</xdr:rowOff>
    </xdr:from>
    <xdr:ext cx="1410643" cy="3905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3771900" y="809625"/>
          <a:ext cx="1410643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en-US" altLang="ja-JP" sz="900"/>
            <a:t>AB9</a:t>
          </a:r>
          <a:r>
            <a:rPr kumimoji="1" lang="ja-JP" altLang="en-US" sz="900"/>
            <a:t>ｾﾙ   </a:t>
          </a:r>
          <a:r>
            <a:rPr kumimoji="1" lang="en-US" altLang="ja-JP" sz="900"/>
            <a:t>=</a:t>
          </a:r>
          <a:r>
            <a:rPr kumimoji="1" lang="ja-JP" altLang="en-US" sz="900"/>
            <a:t> </a:t>
          </a:r>
          <a:r>
            <a:rPr kumimoji="1" lang="en-US" altLang="ja-JP" sz="900"/>
            <a:t>LN(B9/(B7*X9))</a:t>
          </a:r>
        </a:p>
        <a:p>
          <a:r>
            <a:rPr kumimoji="1" lang="ja-JP" altLang="en-US" sz="900"/>
            <a:t>            </a:t>
          </a:r>
          <a:r>
            <a:rPr kumimoji="1" lang="en-US" altLang="ja-JP" sz="900"/>
            <a:t>/AA9+AA9/2</a:t>
          </a:r>
          <a:br>
            <a:rPr kumimoji="1" lang="en-US" altLang="ja-JP" sz="900"/>
          </a:br>
          <a:endParaRPr lang="ja-JP" altLang="ja-JP" sz="900">
            <a:effectLst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11907</xdr:colOff>
      <xdr:row>16</xdr:row>
      <xdr:rowOff>154781</xdr:rowOff>
    </xdr:from>
    <xdr:to>
      <xdr:col>7</xdr:col>
      <xdr:colOff>142875</xdr:colOff>
      <xdr:row>20</xdr:row>
      <xdr:rowOff>47624</xdr:rowOff>
    </xdr:to>
    <xdr:grpSp>
      <xdr:nvGrpSpPr>
        <xdr:cNvPr id="2" name="グループ化 1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2126457" y="2847181"/>
          <a:ext cx="283368" cy="616743"/>
          <a:chOff x="1899048" y="3250406"/>
          <a:chExt cx="273843" cy="678656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5954</xdr:colOff>
      <xdr:row>12</xdr:row>
      <xdr:rowOff>148827</xdr:rowOff>
    </xdr:from>
    <xdr:to>
      <xdr:col>7</xdr:col>
      <xdr:colOff>136922</xdr:colOff>
      <xdr:row>16</xdr:row>
      <xdr:rowOff>41671</xdr:rowOff>
    </xdr:to>
    <xdr:grpSp>
      <xdr:nvGrpSpPr>
        <xdr:cNvPr id="5" name="グループ化 1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2120504" y="2117327"/>
          <a:ext cx="283368" cy="616744"/>
          <a:chOff x="1899048" y="3250406"/>
          <a:chExt cx="273843" cy="678656"/>
        </a:xfrm>
      </xdr:grpSpPr>
      <xdr:cxnSp macro="">
        <xdr:nvCxnSpPr>
          <xdr:cNvPr id="6" name="直線矢印コネクタ 15">
            <a:extLst>
              <a:ext uri="{FF2B5EF4-FFF2-40B4-BE49-F238E27FC236}">
                <a16:creationId xmlns:a16="http://schemas.microsoft.com/office/drawing/2014/main" id="{00000000-0008-0000-1500-000006000000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直線矢印コネクタ 16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11908</xdr:colOff>
      <xdr:row>14</xdr:row>
      <xdr:rowOff>154781</xdr:rowOff>
    </xdr:from>
    <xdr:to>
      <xdr:col>5</xdr:col>
      <xdr:colOff>142876</xdr:colOff>
      <xdr:row>18</xdr:row>
      <xdr:rowOff>47625</xdr:rowOff>
    </xdr:to>
    <xdr:grpSp>
      <xdr:nvGrpSpPr>
        <xdr:cNvPr id="8" name="グループ化 20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pSpPr/>
      </xdr:nvGrpSpPr>
      <xdr:grpSpPr>
        <a:xfrm>
          <a:off x="1434308" y="2485231"/>
          <a:ext cx="283368" cy="616744"/>
          <a:chOff x="1899048" y="3250406"/>
          <a:chExt cx="273843" cy="678656"/>
        </a:xfrm>
      </xdr:grpSpPr>
      <xdr:cxnSp macro="">
        <xdr:nvCxnSpPr>
          <xdr:cNvPr id="9" name="直線矢印コネクタ 21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線矢印コネクタ 22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11908</xdr:colOff>
      <xdr:row>14</xdr:row>
      <xdr:rowOff>145256</xdr:rowOff>
    </xdr:from>
    <xdr:to>
      <xdr:col>13</xdr:col>
      <xdr:colOff>142876</xdr:colOff>
      <xdr:row>18</xdr:row>
      <xdr:rowOff>38100</xdr:rowOff>
    </xdr:to>
    <xdr:grpSp>
      <xdr:nvGrpSpPr>
        <xdr:cNvPr id="11" name="グループ化 23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5225258" y="2475706"/>
          <a:ext cx="283368" cy="616744"/>
          <a:chOff x="1899048" y="3250406"/>
          <a:chExt cx="273843" cy="678656"/>
        </a:xfrm>
      </xdr:grpSpPr>
      <xdr:cxnSp macro="">
        <xdr:nvCxnSpPr>
          <xdr:cNvPr id="12" name="直線矢印コネクタ 24">
            <a:extLst>
              <a:ext uri="{FF2B5EF4-FFF2-40B4-BE49-F238E27FC236}">
                <a16:creationId xmlns:a16="http://schemas.microsoft.com/office/drawing/2014/main" id="{00000000-0008-0000-1500-00000C000000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直線矢印コネクタ 25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8</xdr:col>
      <xdr:colOff>933450</xdr:colOff>
      <xdr:row>12</xdr:row>
      <xdr:rowOff>180975</xdr:rowOff>
    </xdr:from>
    <xdr:ext cx="198978" cy="42652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 txBox="1"/>
      </xdr:nvSpPr>
      <xdr:spPr>
        <a:xfrm>
          <a:off x="6172200" y="2228850"/>
          <a:ext cx="198978" cy="426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ctr">
          <a:noAutofit/>
        </a:bodyPr>
        <a:lstStyle/>
        <a:p>
          <a:pPr algn="r"/>
          <a:r>
            <a:rPr lang="en-US" altLang="ja-JP" sz="1000"/>
            <a:t>(</a:t>
          </a:r>
          <a:r>
            <a:rPr lang="ja-JP" altLang="en-US" sz="1000"/>
            <a:t>現在</a:t>
          </a:r>
          <a:r>
            <a:rPr lang="en-US" altLang="ja-JP" sz="1000"/>
            <a:t>)</a:t>
          </a:r>
          <a:endParaRPr lang="en-US" sz="1000"/>
        </a:p>
      </xdr:txBody>
    </xdr:sp>
    <xdr:clientData/>
  </xdr:oneCellAnchor>
  <xdr:oneCellAnchor>
    <xdr:from>
      <xdr:col>0</xdr:col>
      <xdr:colOff>0</xdr:colOff>
      <xdr:row>12</xdr:row>
      <xdr:rowOff>171450</xdr:rowOff>
    </xdr:from>
    <xdr:ext cx="198978" cy="42652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 txBox="1"/>
      </xdr:nvSpPr>
      <xdr:spPr>
        <a:xfrm>
          <a:off x="0" y="2228850"/>
          <a:ext cx="198978" cy="426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ctr">
          <a:noAutofit/>
        </a:bodyPr>
        <a:lstStyle/>
        <a:p>
          <a:pPr algn="r"/>
          <a:r>
            <a:rPr lang="en-US" altLang="ja-JP" sz="1000"/>
            <a:t>(</a:t>
          </a:r>
          <a:r>
            <a:rPr lang="ja-JP" altLang="en-US" sz="1000"/>
            <a:t>現在</a:t>
          </a:r>
          <a:r>
            <a:rPr lang="en-US" altLang="ja-JP" sz="1000"/>
            <a:t>)</a:t>
          </a:r>
          <a:endParaRPr lang="en-US" sz="10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38100</xdr:colOff>
      <xdr:row>25</xdr:row>
      <xdr:rowOff>19050</xdr:rowOff>
    </xdr:from>
    <xdr:ext cx="1209675" cy="200025"/>
    <xdr:sp macro="" textlink="">
      <xdr:nvSpPr>
        <xdr:cNvPr id="2" name="Text Box 8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>
          <a:spLocks noChangeArrowheads="1"/>
        </xdr:cNvSpPr>
      </xdr:nvSpPr>
      <xdr:spPr bwMode="auto">
        <a:xfrm>
          <a:off x="3467100" y="4305300"/>
          <a:ext cx="1209675" cy="2000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FFFF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18288" rIns="27432" bIns="18288" anchor="ctr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（Y = cX^2 + bX + a）</a:t>
          </a:r>
        </a:p>
      </xdr:txBody>
    </xdr:sp>
    <xdr:clientData/>
  </xdr:oneCellAnchor>
  <xdr:twoCellAnchor>
    <xdr:from>
      <xdr:col>5</xdr:col>
      <xdr:colOff>353786</xdr:colOff>
      <xdr:row>9</xdr:row>
      <xdr:rowOff>146059</xdr:rowOff>
    </xdr:from>
    <xdr:to>
      <xdr:col>10</xdr:col>
      <xdr:colOff>6803</xdr:colOff>
      <xdr:row>13</xdr:row>
      <xdr:rowOff>142875</xdr:rowOff>
    </xdr:to>
    <xdr:sp macro="" textlink="">
      <xdr:nvSpPr>
        <xdr:cNvPr id="3" name="Freeform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782786" y="1689109"/>
          <a:ext cx="3082017" cy="682616"/>
        </a:xfrm>
        <a:custGeom>
          <a:avLst/>
          <a:gdLst>
            <a:gd name="connsiteX0" fmla="*/ 2231571 w 2231571"/>
            <a:gd name="connsiteY0" fmla="*/ 37637 h 738405"/>
            <a:gd name="connsiteX1" fmla="*/ 796018 w 2231571"/>
            <a:gd name="connsiteY1" fmla="*/ 78458 h 738405"/>
            <a:gd name="connsiteX2" fmla="*/ 0 w 2231571"/>
            <a:gd name="connsiteY2" fmla="*/ 738405 h 73840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231571" h="738405">
              <a:moveTo>
                <a:pt x="2231571" y="37637"/>
              </a:moveTo>
              <a:cubicBezTo>
                <a:pt x="1699758" y="-350"/>
                <a:pt x="1167946" y="-38337"/>
                <a:pt x="796018" y="78458"/>
              </a:cubicBezTo>
              <a:cubicBezTo>
                <a:pt x="424090" y="195253"/>
                <a:pt x="212045" y="466829"/>
                <a:pt x="0" y="738405"/>
              </a:cubicBezTo>
            </a:path>
          </a:pathLst>
        </a:cu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306161</xdr:colOff>
      <xdr:row>10</xdr:row>
      <xdr:rowOff>13607</xdr:rowOff>
    </xdr:from>
    <xdr:to>
      <xdr:col>4</xdr:col>
      <xdr:colOff>176893</xdr:colOff>
      <xdr:row>13</xdr:row>
      <xdr:rowOff>136071</xdr:rowOff>
    </xdr:to>
    <xdr:sp macro="" textlink="">
      <xdr:nvSpPr>
        <xdr:cNvPr id="4" name="Freeform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1677761" y="1728107"/>
          <a:ext cx="1242332" cy="636814"/>
        </a:xfrm>
        <a:custGeom>
          <a:avLst/>
          <a:gdLst>
            <a:gd name="connsiteX0" fmla="*/ 1108982 w 1108982"/>
            <a:gd name="connsiteY0" fmla="*/ 0 h 680357"/>
            <a:gd name="connsiteX1" fmla="*/ 231321 w 1108982"/>
            <a:gd name="connsiteY1" fmla="*/ 306161 h 680357"/>
            <a:gd name="connsiteX2" fmla="*/ 0 w 1108982"/>
            <a:gd name="connsiteY2" fmla="*/ 680357 h 680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08982" h="680357">
              <a:moveTo>
                <a:pt x="1108982" y="0"/>
              </a:moveTo>
              <a:cubicBezTo>
                <a:pt x="762566" y="96384"/>
                <a:pt x="416151" y="192768"/>
                <a:pt x="231321" y="306161"/>
              </a:cubicBezTo>
              <a:cubicBezTo>
                <a:pt x="46491" y="419554"/>
                <a:pt x="23245" y="549955"/>
                <a:pt x="0" y="680357"/>
              </a:cubicBezTo>
            </a:path>
          </a:pathLst>
        </a:cu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209005</xdr:colOff>
      <xdr:row>1</xdr:row>
      <xdr:rowOff>142878</xdr:rowOff>
    </xdr:from>
    <xdr:to>
      <xdr:col>11</xdr:col>
      <xdr:colOff>102054</xdr:colOff>
      <xdr:row>13</xdr:row>
      <xdr:rowOff>142878</xdr:rowOff>
    </xdr:to>
    <xdr:sp macro="" textlink="">
      <xdr:nvSpPr>
        <xdr:cNvPr id="5" name="Freefor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894805" y="314328"/>
          <a:ext cx="6751049" cy="2057400"/>
        </a:xfrm>
        <a:custGeom>
          <a:avLst/>
          <a:gdLst>
            <a:gd name="connsiteX0" fmla="*/ 5499192 w 5499192"/>
            <a:gd name="connsiteY0" fmla="*/ 0 h 2054679"/>
            <a:gd name="connsiteX1" fmla="*/ 852352 w 5499192"/>
            <a:gd name="connsiteY1" fmla="*/ 748393 h 2054679"/>
            <a:gd name="connsiteX2" fmla="*/ 15513 w 5499192"/>
            <a:gd name="connsiteY2" fmla="*/ 2054679 h 2054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499192" h="2054679">
              <a:moveTo>
                <a:pt x="5499192" y="0"/>
              </a:moveTo>
              <a:cubicBezTo>
                <a:pt x="3632745" y="202973"/>
                <a:pt x="1766298" y="405947"/>
                <a:pt x="852352" y="748393"/>
              </a:cubicBezTo>
              <a:cubicBezTo>
                <a:pt x="-61594" y="1090839"/>
                <a:pt x="-23041" y="1572759"/>
                <a:pt x="15513" y="2054679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198099</xdr:colOff>
      <xdr:row>10</xdr:row>
      <xdr:rowOff>9525</xdr:rowOff>
    </xdr:from>
    <xdr:to>
      <xdr:col>2</xdr:col>
      <xdr:colOff>333375</xdr:colOff>
      <xdr:row>13</xdr:row>
      <xdr:rowOff>133350</xdr:rowOff>
    </xdr:to>
    <xdr:sp macro="" textlink="">
      <xdr:nvSpPr>
        <xdr:cNvPr id="2" name="Freefor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569699" y="1724025"/>
          <a:ext cx="135276" cy="638175"/>
        </a:xfrm>
        <a:custGeom>
          <a:avLst/>
          <a:gdLst>
            <a:gd name="connsiteX0" fmla="*/ 135276 w 135276"/>
            <a:gd name="connsiteY0" fmla="*/ 0 h 676275"/>
            <a:gd name="connsiteX1" fmla="*/ 1926 w 135276"/>
            <a:gd name="connsiteY1" fmla="*/ 352425 h 676275"/>
            <a:gd name="connsiteX2" fmla="*/ 68601 w 135276"/>
            <a:gd name="connsiteY2" fmla="*/ 676275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35276" h="676275">
              <a:moveTo>
                <a:pt x="135276" y="0"/>
              </a:moveTo>
              <a:cubicBezTo>
                <a:pt x="74157" y="119856"/>
                <a:pt x="13038" y="239713"/>
                <a:pt x="1926" y="352425"/>
              </a:cubicBezTo>
              <a:cubicBezTo>
                <a:pt x="-9186" y="465137"/>
                <a:pt x="29707" y="570706"/>
                <a:pt x="68601" y="676275"/>
              </a:cubicBezTo>
            </a:path>
          </a:pathLst>
        </a:cu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333375</xdr:colOff>
      <xdr:row>9</xdr:row>
      <xdr:rowOff>152034</xdr:rowOff>
    </xdr:from>
    <xdr:to>
      <xdr:col>9</xdr:col>
      <xdr:colOff>0</xdr:colOff>
      <xdr:row>13</xdr:row>
      <xdr:rowOff>123825</xdr:rowOff>
    </xdr:to>
    <xdr:sp macro="" textlink="">
      <xdr:nvSpPr>
        <xdr:cNvPr id="3" name="Freeform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762375" y="1695084"/>
          <a:ext cx="2409825" cy="657591"/>
        </a:xfrm>
        <a:custGeom>
          <a:avLst/>
          <a:gdLst>
            <a:gd name="connsiteX0" fmla="*/ 1657350 w 1657350"/>
            <a:gd name="connsiteY0" fmla="*/ 366 h 705216"/>
            <a:gd name="connsiteX1" fmla="*/ 676275 w 1657350"/>
            <a:gd name="connsiteY1" fmla="*/ 114666 h 705216"/>
            <a:gd name="connsiteX2" fmla="*/ 0 w 1657350"/>
            <a:gd name="connsiteY2" fmla="*/ 705216 h 7052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657350" h="705216">
              <a:moveTo>
                <a:pt x="1657350" y="366"/>
              </a:moveTo>
              <a:cubicBezTo>
                <a:pt x="1304925" y="-1222"/>
                <a:pt x="952500" y="-2809"/>
                <a:pt x="676275" y="114666"/>
              </a:cubicBezTo>
              <a:cubicBezTo>
                <a:pt x="400050" y="232141"/>
                <a:pt x="200025" y="468678"/>
                <a:pt x="0" y="705216"/>
              </a:cubicBezTo>
            </a:path>
          </a:pathLst>
        </a:custGeom>
        <a:noFill/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0</xdr:col>
      <xdr:colOff>142875</xdr:colOff>
      <xdr:row>10</xdr:row>
      <xdr:rowOff>123825</xdr:rowOff>
    </xdr:from>
    <xdr:ext cx="679160" cy="42575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142875" y="1838325"/>
          <a:ext cx="679160" cy="4257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ja-JP" sz="1000" b="1"/>
            <a:t>1</a:t>
          </a:r>
          <a:r>
            <a:rPr lang="ja-JP" altLang="en-US" sz="1000" b="1"/>
            <a:t>つ前の</a:t>
          </a:r>
          <a:endParaRPr lang="en-US" altLang="ja-JP" sz="1000" b="1"/>
        </a:p>
        <a:p>
          <a:r>
            <a:rPr lang="ja-JP" altLang="en-US" sz="1000" b="1"/>
            <a:t>ﾊﾞﾐｭｰﾀﾞﾝ</a:t>
          </a:r>
          <a:endParaRPr lang="en-US" sz="1000" b="1"/>
        </a:p>
      </xdr:txBody>
    </xdr:sp>
    <xdr:clientData/>
  </xdr:oneCellAnchor>
  <xdr:twoCellAnchor>
    <xdr:from>
      <xdr:col>1</xdr:col>
      <xdr:colOff>263380</xdr:colOff>
      <xdr:row>13</xdr:row>
      <xdr:rowOff>35233</xdr:rowOff>
    </xdr:from>
    <xdr:to>
      <xdr:col>1</xdr:col>
      <xdr:colOff>285750</xdr:colOff>
      <xdr:row>14</xdr:row>
      <xdr:rowOff>28575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CxnSpPr/>
      </xdr:nvCxnSpPr>
      <xdr:spPr>
        <a:xfrm>
          <a:off x="949180" y="2264083"/>
          <a:ext cx="22370" cy="164792"/>
        </a:xfrm>
        <a:prstGeom prst="line">
          <a:avLst/>
        </a:prstGeom>
        <a:ln w="15875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5"/>
  <sheetViews>
    <sheetView zoomScaleNormal="100" workbookViewId="0">
      <selection activeCell="G25" sqref="G25"/>
    </sheetView>
  </sheetViews>
  <sheetFormatPr defaultColWidth="9" defaultRowHeight="14" x14ac:dyDescent="0.35"/>
  <cols>
    <col min="1" max="1" width="5.81640625" style="7" customWidth="1"/>
    <col min="2" max="2" width="6.1796875" style="7" bestFit="1" customWidth="1"/>
    <col min="3" max="3" width="8.54296875" style="7" bestFit="1" customWidth="1"/>
    <col min="4" max="4" width="6.1796875" style="7" bestFit="1" customWidth="1"/>
    <col min="5" max="5" width="14.54296875" style="2" bestFit="1" customWidth="1"/>
    <col min="6" max="7" width="9" style="2"/>
    <col min="8" max="9" width="12.54296875" style="2" customWidth="1"/>
    <col min="10" max="11" width="9" style="2"/>
    <col min="12" max="12" width="10.7265625" style="2" customWidth="1"/>
    <col min="13" max="16384" width="9" style="2"/>
  </cols>
  <sheetData>
    <row r="1" spans="1:14" ht="16" x14ac:dyDescent="0.45">
      <c r="A1" s="364" t="s">
        <v>3</v>
      </c>
      <c r="B1" s="365">
        <v>0.02</v>
      </c>
      <c r="C1" s="364" t="s">
        <v>5</v>
      </c>
      <c r="D1" s="365">
        <v>0.04</v>
      </c>
      <c r="F1" s="4" t="s">
        <v>6</v>
      </c>
      <c r="G1" s="13">
        <f>B2^2</f>
        <v>4</v>
      </c>
    </row>
    <row r="2" spans="1:14" x14ac:dyDescent="0.35">
      <c r="A2" s="364" t="s">
        <v>4</v>
      </c>
      <c r="B2" s="366">
        <v>2</v>
      </c>
      <c r="C2" s="364" t="s">
        <v>0</v>
      </c>
      <c r="D2" s="365">
        <v>0.08</v>
      </c>
      <c r="F2" s="4" t="s">
        <v>1</v>
      </c>
      <c r="G2" s="8">
        <f>D2^2</f>
        <v>6.4000000000000003E-3</v>
      </c>
    </row>
    <row r="4" spans="1:14" x14ac:dyDescent="0.35">
      <c r="A4" s="12" t="s">
        <v>2</v>
      </c>
      <c r="B4" s="12" t="s">
        <v>423</v>
      </c>
      <c r="C4" s="12" t="s">
        <v>424</v>
      </c>
      <c r="D4" s="12" t="s">
        <v>425</v>
      </c>
      <c r="E4" s="16" t="s">
        <v>10</v>
      </c>
      <c r="G4" s="1"/>
    </row>
    <row r="5" spans="1:14" x14ac:dyDescent="0.35">
      <c r="A5" s="14">
        <v>1.0000000000000001E-5</v>
      </c>
      <c r="B5" s="9">
        <f t="shared" ref="B5:B25" si="0">(1-EXP(-B$2*A5))/B$2</f>
        <v>9.9999000006678607E-6</v>
      </c>
      <c r="C5" s="10">
        <f t="shared" ref="C5:C25" si="1">($G$2/(2*$G$1))*(A5-B5)-($G$2*B5^2)/(4*$B$2) +$D$1*(B5-A5)</f>
        <v>-3.9999722199126187E-12</v>
      </c>
      <c r="D5" s="11">
        <f>-C5/A5+$B$1*B5/A5</f>
        <v>2.0000199998557712E-2</v>
      </c>
      <c r="E5" s="15" t="s">
        <v>7</v>
      </c>
    </row>
    <row r="6" spans="1:14" x14ac:dyDescent="0.35">
      <c r="A6" s="14">
        <f>A5+0.5</f>
        <v>0.50000999999999995</v>
      </c>
      <c r="B6" s="9">
        <f t="shared" si="0"/>
        <v>0.3160639581719028</v>
      </c>
      <c r="C6" s="10">
        <f t="shared" si="1"/>
        <v>-7.2906019801856408E-3</v>
      </c>
      <c r="D6" s="11">
        <f t="shared" ref="D6:D25" si="2">-C6/A6+$B$1*B6/A6</f>
        <v>2.722321782289094E-2</v>
      </c>
      <c r="E6" s="15" t="s">
        <v>8</v>
      </c>
    </row>
    <row r="7" spans="1:14" x14ac:dyDescent="0.35">
      <c r="A7" s="14">
        <f t="shared" ref="A7:A24" si="3">A6+0.5</f>
        <v>1.0000100000000001</v>
      </c>
      <c r="B7" s="9">
        <f t="shared" si="0"/>
        <v>0.43233371172099261</v>
      </c>
      <c r="C7" s="10">
        <f t="shared" si="1"/>
        <v>-2.2402440451169448E-2</v>
      </c>
      <c r="D7" s="11">
        <f t="shared" si="2"/>
        <v>3.1048804197547325E-2</v>
      </c>
      <c r="E7" s="15" t="s">
        <v>11</v>
      </c>
    </row>
    <row r="8" spans="1:14" x14ac:dyDescent="0.35">
      <c r="A8" s="14">
        <f t="shared" si="3"/>
        <v>1.5000100000000001</v>
      </c>
      <c r="B8" s="9">
        <f t="shared" si="0"/>
        <v>0.47510696368177302</v>
      </c>
      <c r="C8" s="10">
        <f t="shared" si="1"/>
        <v>-4.0356780325225626E-2</v>
      </c>
      <c r="D8" s="11">
        <f t="shared" si="2"/>
        <v>3.3239058138853132E-2</v>
      </c>
      <c r="E8" s="17" t="s">
        <v>9</v>
      </c>
      <c r="G8" s="1"/>
      <c r="H8" s="1"/>
      <c r="I8" s="1"/>
    </row>
    <row r="9" spans="1:14" x14ac:dyDescent="0.35">
      <c r="A9" s="14">
        <f t="shared" si="3"/>
        <v>2.0000100000000001</v>
      </c>
      <c r="B9" s="9">
        <f t="shared" si="0"/>
        <v>0.49084236371019024</v>
      </c>
      <c r="C9" s="10">
        <f t="shared" si="1"/>
        <v>-5.9352112323370634E-2</v>
      </c>
      <c r="D9" s="11">
        <f t="shared" si="2"/>
        <v>3.4584306877252835E-2</v>
      </c>
      <c r="H9" s="3"/>
      <c r="I9" s="3"/>
      <c r="K9" s="4"/>
      <c r="L9" s="5"/>
      <c r="M9" s="4"/>
      <c r="N9" s="6"/>
    </row>
    <row r="10" spans="1:14" x14ac:dyDescent="0.35">
      <c r="A10" s="14">
        <f t="shared" si="3"/>
        <v>2.5000100000000001</v>
      </c>
      <c r="B10" s="9">
        <f t="shared" si="0"/>
        <v>0.49663109387925347</v>
      </c>
      <c r="C10" s="10">
        <f t="shared" si="1"/>
        <v>-7.8729767074659424E-2</v>
      </c>
      <c r="D10" s="11">
        <f t="shared" si="2"/>
        <v>3.546481372164291E-2</v>
      </c>
    </row>
    <row r="11" spans="1:14" x14ac:dyDescent="0.35">
      <c r="A11" s="14">
        <f t="shared" si="3"/>
        <v>3.0000100000000001</v>
      </c>
      <c r="B11" s="9">
        <f t="shared" si="0"/>
        <v>0.49876064869894071</v>
      </c>
      <c r="C11" s="10">
        <f t="shared" si="1"/>
        <v>-9.8247984318754006E-2</v>
      </c>
      <c r="D11" s="11">
        <f t="shared" si="2"/>
        <v>3.6074278849981441E-2</v>
      </c>
    </row>
    <row r="12" spans="1:14" x14ac:dyDescent="0.35">
      <c r="A12" s="14">
        <f t="shared" si="3"/>
        <v>3.5000100000000001</v>
      </c>
      <c r="B12" s="9">
        <f t="shared" si="0"/>
        <v>0.4995440681359512</v>
      </c>
      <c r="C12" s="10">
        <f t="shared" si="1"/>
        <v>-0.11781789994987857</v>
      </c>
      <c r="D12" s="11">
        <f t="shared" si="2"/>
        <v>3.6516690327341235E-2</v>
      </c>
    </row>
    <row r="13" spans="1:14" x14ac:dyDescent="0.35">
      <c r="A13" s="14">
        <f t="shared" si="3"/>
        <v>4.0000099999999996</v>
      </c>
      <c r="B13" s="9">
        <f t="shared" si="0"/>
        <v>0.49983227204064146</v>
      </c>
      <c r="C13" s="10">
        <f t="shared" si="1"/>
        <v>-0.13740683277614549</v>
      </c>
      <c r="D13" s="11">
        <f t="shared" si="2"/>
        <v>3.6850777427296012E-2</v>
      </c>
    </row>
    <row r="14" spans="1:14" ht="15" customHeight="1" x14ac:dyDescent="0.35">
      <c r="A14" s="14">
        <f t="shared" si="3"/>
        <v>4.5000099999999996</v>
      </c>
      <c r="B14" s="9">
        <f t="shared" si="0"/>
        <v>0.49993829633204234</v>
      </c>
      <c r="C14" s="10">
        <f t="shared" si="1"/>
        <v>-0.15700276142389541</v>
      </c>
      <c r="D14" s="11">
        <f t="shared" si="2"/>
        <v>3.7111368052634611E-2</v>
      </c>
    </row>
    <row r="15" spans="1:14" x14ac:dyDescent="0.35">
      <c r="A15" s="14">
        <f t="shared" si="3"/>
        <v>5.0000099999999996</v>
      </c>
      <c r="B15" s="9">
        <f t="shared" si="0"/>
        <v>0.49997730048911354</v>
      </c>
      <c r="C15" s="10">
        <f t="shared" si="1"/>
        <v>-0.17660126366163023</v>
      </c>
      <c r="D15" s="11">
        <f t="shared" si="2"/>
        <v>3.732008729410792E-2</v>
      </c>
    </row>
    <row r="16" spans="1:14" x14ac:dyDescent="0.35">
      <c r="A16" s="14">
        <f t="shared" si="3"/>
        <v>5.5000099999999996</v>
      </c>
      <c r="B16" s="9">
        <f t="shared" si="0"/>
        <v>0.49999164931662021</v>
      </c>
      <c r="C16" s="10">
        <f t="shared" si="1"/>
        <v>-0.19620071266629754</v>
      </c>
      <c r="D16" s="11">
        <f t="shared" si="2"/>
        <v>3.7490940135132475E-2</v>
      </c>
    </row>
    <row r="17" spans="1:4" x14ac:dyDescent="0.35">
      <c r="A17" s="14">
        <f t="shared" si="3"/>
        <v>6.0000099999999996</v>
      </c>
      <c r="B17" s="9">
        <f t="shared" si="0"/>
        <v>0.49999692795526485</v>
      </c>
      <c r="C17" s="10">
        <f t="shared" si="1"/>
        <v>-0.21580050996652536</v>
      </c>
      <c r="D17" s="11">
        <f t="shared" si="2"/>
        <v>3.7633345365362836E-2</v>
      </c>
    </row>
    <row r="18" spans="1:4" x14ac:dyDescent="0.35">
      <c r="A18" s="14">
        <f t="shared" si="3"/>
        <v>6.5000099999999996</v>
      </c>
      <c r="B18" s="9">
        <f t="shared" si="0"/>
        <v>0.4999988698578996</v>
      </c>
      <c r="C18" s="10">
        <f t="shared" si="1"/>
        <v>-0.2354004353974577</v>
      </c>
      <c r="D18" s="11">
        <f t="shared" si="2"/>
        <v>3.7753851577861527E-2</v>
      </c>
    </row>
    <row r="19" spans="1:4" x14ac:dyDescent="0.35">
      <c r="A19" s="14">
        <f t="shared" si="3"/>
        <v>7.0000099999999996</v>
      </c>
      <c r="B19" s="9">
        <f t="shared" si="0"/>
        <v>0.49999958424395563</v>
      </c>
      <c r="C19" s="10">
        <f t="shared" si="1"/>
        <v>-0.25500040796503221</v>
      </c>
      <c r="D19" s="11">
        <f t="shared" si="2"/>
        <v>3.7857145868350379E-2</v>
      </c>
    </row>
    <row r="20" spans="1:4" x14ac:dyDescent="0.35">
      <c r="A20" s="14">
        <f t="shared" si="3"/>
        <v>7.5000099999999996</v>
      </c>
      <c r="B20" s="9">
        <f t="shared" si="0"/>
        <v>0.49999984705189876</v>
      </c>
      <c r="C20" s="10">
        <f t="shared" si="1"/>
        <v>-0.27460039787320711</v>
      </c>
      <c r="D20" s="11">
        <f t="shared" si="2"/>
        <v>3.7946668713007732E-2</v>
      </c>
    </row>
    <row r="21" spans="1:4" x14ac:dyDescent="0.35">
      <c r="A21" s="14">
        <f t="shared" si="3"/>
        <v>8.0000099999999996</v>
      </c>
      <c r="B21" s="9">
        <f t="shared" si="0"/>
        <v>0.49999994373353795</v>
      </c>
      <c r="C21" s="10">
        <f t="shared" si="1"/>
        <v>-0.29420039416063209</v>
      </c>
      <c r="D21" s="11">
        <f t="shared" si="2"/>
        <v>3.8025001598160864E-2</v>
      </c>
    </row>
    <row r="22" spans="1:4" x14ac:dyDescent="0.35">
      <c r="A22" s="14">
        <f t="shared" si="3"/>
        <v>8.5000099999999996</v>
      </c>
      <c r="B22" s="9">
        <f t="shared" si="0"/>
        <v>0.49999997930072537</v>
      </c>
      <c r="C22" s="10">
        <f t="shared" si="1"/>
        <v>-0.31380039279485217</v>
      </c>
      <c r="D22" s="11">
        <f t="shared" si="2"/>
        <v>3.8094118992903145E-2</v>
      </c>
    </row>
    <row r="23" spans="1:4" x14ac:dyDescent="0.35">
      <c r="A23" s="14">
        <f t="shared" si="3"/>
        <v>9.0000099999999996</v>
      </c>
      <c r="B23" s="9">
        <f t="shared" si="0"/>
        <v>0.49999999238516241</v>
      </c>
      <c r="C23" s="10">
        <f t="shared" si="1"/>
        <v>-0.3334003922924097</v>
      </c>
      <c r="D23" s="11">
        <f t="shared" si="2"/>
        <v>3.8155556731616184E-2</v>
      </c>
    </row>
    <row r="24" spans="1:4" x14ac:dyDescent="0.35">
      <c r="A24" s="14">
        <f t="shared" si="3"/>
        <v>9.5000099999999996</v>
      </c>
      <c r="B24" s="9">
        <f t="shared" si="0"/>
        <v>0.49999999719865779</v>
      </c>
      <c r="C24" s="10">
        <f t="shared" si="1"/>
        <v>-0.3530003921075715</v>
      </c>
      <c r="D24" s="11">
        <f t="shared" si="2"/>
        <v>3.8210527362765374E-2</v>
      </c>
    </row>
    <row r="25" spans="1:4" x14ac:dyDescent="0.35">
      <c r="A25" s="14">
        <v>10</v>
      </c>
      <c r="B25" s="9">
        <f t="shared" si="0"/>
        <v>0.49999999896942321</v>
      </c>
      <c r="C25" s="10">
        <f t="shared" si="1"/>
        <v>-0.37260000003957416</v>
      </c>
      <c r="D25" s="11">
        <f t="shared" si="2"/>
        <v>3.8260000001896263E-2</v>
      </c>
    </row>
    <row r="26" spans="1:4" x14ac:dyDescent="0.35">
      <c r="A26" s="9"/>
      <c r="B26" s="9"/>
      <c r="C26" s="10"/>
      <c r="D26" s="11"/>
    </row>
    <row r="27" spans="1:4" x14ac:dyDescent="0.35">
      <c r="A27" s="9"/>
      <c r="B27" s="9"/>
      <c r="C27" s="10"/>
      <c r="D27" s="11"/>
    </row>
    <row r="28" spans="1:4" x14ac:dyDescent="0.35">
      <c r="A28" s="9"/>
      <c r="B28" s="9"/>
      <c r="C28" s="10"/>
      <c r="D28" s="11"/>
    </row>
    <row r="29" spans="1:4" x14ac:dyDescent="0.35">
      <c r="A29" s="9"/>
      <c r="B29" s="9"/>
      <c r="C29" s="10"/>
      <c r="D29" s="11"/>
    </row>
    <row r="30" spans="1:4" x14ac:dyDescent="0.35">
      <c r="A30" s="9"/>
      <c r="B30" s="9"/>
      <c r="C30" s="10"/>
      <c r="D30" s="11"/>
    </row>
    <row r="31" spans="1:4" x14ac:dyDescent="0.35">
      <c r="A31" s="9"/>
      <c r="B31" s="9"/>
      <c r="C31" s="10"/>
      <c r="D31" s="11"/>
    </row>
    <row r="32" spans="1:4" x14ac:dyDescent="0.35">
      <c r="A32" s="9"/>
      <c r="B32" s="9"/>
      <c r="C32" s="10"/>
      <c r="D32" s="11"/>
    </row>
    <row r="33" spans="1:4" x14ac:dyDescent="0.35">
      <c r="A33" s="9"/>
      <c r="B33" s="9"/>
      <c r="C33" s="10"/>
      <c r="D33" s="11"/>
    </row>
    <row r="34" spans="1:4" x14ac:dyDescent="0.35">
      <c r="A34" s="9"/>
      <c r="B34" s="9"/>
      <c r="C34" s="10"/>
      <c r="D34" s="11"/>
    </row>
    <row r="35" spans="1:4" x14ac:dyDescent="0.35">
      <c r="A35" s="9"/>
      <c r="B35" s="9"/>
      <c r="C35" s="10"/>
      <c r="D35" s="11"/>
    </row>
    <row r="36" spans="1:4" x14ac:dyDescent="0.35">
      <c r="A36" s="9"/>
      <c r="B36" s="9"/>
      <c r="C36" s="10"/>
      <c r="D36" s="11"/>
    </row>
    <row r="37" spans="1:4" x14ac:dyDescent="0.35">
      <c r="A37" s="9"/>
      <c r="B37" s="9"/>
      <c r="C37" s="10"/>
      <c r="D37" s="11"/>
    </row>
    <row r="38" spans="1:4" x14ac:dyDescent="0.35">
      <c r="A38" s="9"/>
      <c r="B38" s="9"/>
      <c r="C38" s="10"/>
      <c r="D38" s="11"/>
    </row>
    <row r="39" spans="1:4" x14ac:dyDescent="0.35">
      <c r="A39" s="9"/>
      <c r="B39" s="9"/>
      <c r="C39" s="10"/>
      <c r="D39" s="11"/>
    </row>
    <row r="40" spans="1:4" x14ac:dyDescent="0.35">
      <c r="A40" s="9"/>
      <c r="B40" s="9"/>
      <c r="C40" s="10"/>
      <c r="D40" s="11"/>
    </row>
    <row r="41" spans="1:4" x14ac:dyDescent="0.35">
      <c r="A41" s="9"/>
      <c r="B41" s="9"/>
      <c r="C41" s="10"/>
      <c r="D41" s="11"/>
    </row>
    <row r="42" spans="1:4" x14ac:dyDescent="0.35">
      <c r="A42" s="9"/>
      <c r="B42" s="9"/>
      <c r="C42" s="10"/>
      <c r="D42" s="11"/>
    </row>
    <row r="43" spans="1:4" x14ac:dyDescent="0.35">
      <c r="A43" s="9"/>
      <c r="B43" s="9"/>
      <c r="C43" s="10"/>
      <c r="D43" s="11"/>
    </row>
    <row r="44" spans="1:4" x14ac:dyDescent="0.35">
      <c r="A44" s="9"/>
      <c r="B44" s="9"/>
      <c r="C44" s="10"/>
      <c r="D44" s="11"/>
    </row>
    <row r="45" spans="1:4" x14ac:dyDescent="0.35">
      <c r="A45" s="9"/>
      <c r="B45" s="9"/>
      <c r="C45" s="10"/>
      <c r="D45" s="11"/>
    </row>
    <row r="46" spans="1:4" x14ac:dyDescent="0.35">
      <c r="A46" s="9"/>
      <c r="B46" s="9"/>
      <c r="C46" s="10"/>
      <c r="D46" s="11"/>
    </row>
    <row r="47" spans="1:4" x14ac:dyDescent="0.35">
      <c r="A47" s="9"/>
      <c r="B47" s="9"/>
      <c r="C47" s="10"/>
      <c r="D47" s="11"/>
    </row>
    <row r="48" spans="1:4" x14ac:dyDescent="0.35">
      <c r="A48" s="9"/>
      <c r="B48" s="9"/>
      <c r="C48" s="10"/>
      <c r="D48" s="11"/>
    </row>
    <row r="49" spans="1:4" x14ac:dyDescent="0.35">
      <c r="A49" s="9"/>
      <c r="B49" s="9"/>
      <c r="C49" s="10"/>
      <c r="D49" s="11"/>
    </row>
    <row r="50" spans="1:4" x14ac:dyDescent="0.35">
      <c r="A50" s="9"/>
      <c r="B50" s="9"/>
      <c r="C50" s="10"/>
      <c r="D50" s="11"/>
    </row>
    <row r="51" spans="1:4" x14ac:dyDescent="0.35">
      <c r="A51" s="9"/>
      <c r="B51" s="9"/>
      <c r="C51" s="10"/>
      <c r="D51" s="11"/>
    </row>
    <row r="52" spans="1:4" x14ac:dyDescent="0.35">
      <c r="A52" s="9"/>
      <c r="B52" s="9"/>
      <c r="C52" s="10"/>
      <c r="D52" s="11"/>
    </row>
    <row r="53" spans="1:4" x14ac:dyDescent="0.35">
      <c r="A53" s="9"/>
      <c r="B53" s="9"/>
      <c r="C53" s="10"/>
      <c r="D53" s="11"/>
    </row>
    <row r="54" spans="1:4" x14ac:dyDescent="0.35">
      <c r="A54" s="9"/>
      <c r="B54" s="9"/>
      <c r="C54" s="10"/>
      <c r="D54" s="11"/>
    </row>
    <row r="55" spans="1:4" x14ac:dyDescent="0.35">
      <c r="A55" s="9"/>
      <c r="B55" s="9"/>
      <c r="C55" s="10"/>
      <c r="D55" s="11"/>
    </row>
    <row r="56" spans="1:4" x14ac:dyDescent="0.35">
      <c r="A56" s="9"/>
      <c r="B56" s="9"/>
      <c r="C56" s="10"/>
      <c r="D56" s="11"/>
    </row>
    <row r="57" spans="1:4" x14ac:dyDescent="0.35">
      <c r="A57" s="9"/>
      <c r="B57" s="9"/>
      <c r="C57" s="10"/>
      <c r="D57" s="11"/>
    </row>
    <row r="58" spans="1:4" x14ac:dyDescent="0.35">
      <c r="A58" s="9"/>
      <c r="B58" s="9"/>
      <c r="C58" s="10"/>
      <c r="D58" s="11"/>
    </row>
    <row r="59" spans="1:4" x14ac:dyDescent="0.35">
      <c r="A59" s="9"/>
      <c r="B59" s="9"/>
      <c r="C59" s="10"/>
      <c r="D59" s="11"/>
    </row>
    <row r="60" spans="1:4" x14ac:dyDescent="0.35">
      <c r="A60" s="9"/>
      <c r="B60" s="9"/>
      <c r="C60" s="10"/>
      <c r="D60" s="11"/>
    </row>
    <row r="61" spans="1:4" x14ac:dyDescent="0.35">
      <c r="A61" s="9"/>
      <c r="B61" s="9"/>
      <c r="C61" s="10"/>
      <c r="D61" s="11"/>
    </row>
    <row r="62" spans="1:4" x14ac:dyDescent="0.35">
      <c r="A62" s="9"/>
      <c r="B62" s="9"/>
      <c r="C62" s="10"/>
      <c r="D62" s="11"/>
    </row>
    <row r="63" spans="1:4" x14ac:dyDescent="0.35">
      <c r="A63" s="9"/>
      <c r="B63" s="9"/>
      <c r="C63" s="10"/>
      <c r="D63" s="11"/>
    </row>
    <row r="64" spans="1:4" x14ac:dyDescent="0.35">
      <c r="A64" s="9"/>
      <c r="B64" s="9"/>
      <c r="C64" s="10"/>
      <c r="D64" s="11"/>
    </row>
    <row r="65" spans="1:4" x14ac:dyDescent="0.35">
      <c r="A65" s="9"/>
      <c r="B65" s="9"/>
      <c r="C65" s="10"/>
      <c r="D65" s="11"/>
    </row>
    <row r="66" spans="1:4" x14ac:dyDescent="0.35">
      <c r="A66" s="9"/>
      <c r="B66" s="9"/>
      <c r="C66" s="10"/>
      <c r="D66" s="11"/>
    </row>
    <row r="67" spans="1:4" x14ac:dyDescent="0.35">
      <c r="A67" s="9"/>
      <c r="B67" s="9"/>
      <c r="C67" s="10"/>
      <c r="D67" s="11"/>
    </row>
    <row r="68" spans="1:4" x14ac:dyDescent="0.35">
      <c r="A68" s="9"/>
      <c r="B68" s="9"/>
      <c r="C68" s="10"/>
      <c r="D68" s="11"/>
    </row>
    <row r="69" spans="1:4" x14ac:dyDescent="0.35">
      <c r="A69" s="9"/>
      <c r="B69" s="9"/>
      <c r="C69" s="10"/>
      <c r="D69" s="11"/>
    </row>
    <row r="70" spans="1:4" x14ac:dyDescent="0.35">
      <c r="A70" s="9"/>
      <c r="B70" s="9"/>
      <c r="C70" s="10"/>
      <c r="D70" s="11"/>
    </row>
    <row r="71" spans="1:4" x14ac:dyDescent="0.35">
      <c r="A71" s="9"/>
      <c r="B71" s="9"/>
      <c r="C71" s="10"/>
      <c r="D71" s="11"/>
    </row>
    <row r="72" spans="1:4" x14ac:dyDescent="0.35">
      <c r="A72" s="9"/>
      <c r="B72" s="9"/>
      <c r="C72" s="10"/>
      <c r="D72" s="11"/>
    </row>
    <row r="73" spans="1:4" x14ac:dyDescent="0.35">
      <c r="A73" s="9"/>
      <c r="B73" s="9"/>
      <c r="C73" s="10"/>
      <c r="D73" s="11"/>
    </row>
    <row r="74" spans="1:4" x14ac:dyDescent="0.35">
      <c r="A74" s="9"/>
      <c r="B74" s="9"/>
      <c r="C74" s="10"/>
      <c r="D74" s="11"/>
    </row>
    <row r="75" spans="1:4" x14ac:dyDescent="0.35">
      <c r="A75" s="9"/>
      <c r="B75" s="9"/>
      <c r="C75" s="10"/>
      <c r="D75" s="11"/>
    </row>
    <row r="76" spans="1:4" x14ac:dyDescent="0.35">
      <c r="A76" s="9"/>
      <c r="B76" s="9"/>
      <c r="C76" s="10"/>
      <c r="D76" s="11"/>
    </row>
    <row r="77" spans="1:4" x14ac:dyDescent="0.35">
      <c r="A77" s="9"/>
      <c r="B77" s="9"/>
      <c r="C77" s="10"/>
      <c r="D77" s="11"/>
    </row>
    <row r="78" spans="1:4" x14ac:dyDescent="0.35">
      <c r="A78" s="9"/>
      <c r="B78" s="9"/>
      <c r="C78" s="10"/>
      <c r="D78" s="11"/>
    </row>
    <row r="79" spans="1:4" x14ac:dyDescent="0.35">
      <c r="A79" s="9"/>
      <c r="B79" s="9"/>
      <c r="C79" s="10"/>
      <c r="D79" s="11"/>
    </row>
    <row r="80" spans="1:4" x14ac:dyDescent="0.35">
      <c r="A80" s="9"/>
      <c r="B80" s="9"/>
      <c r="C80" s="10"/>
      <c r="D80" s="11"/>
    </row>
    <row r="81" spans="1:4" x14ac:dyDescent="0.35">
      <c r="A81" s="9"/>
      <c r="B81" s="9"/>
      <c r="C81" s="10"/>
      <c r="D81" s="11"/>
    </row>
    <row r="82" spans="1:4" x14ac:dyDescent="0.35">
      <c r="A82" s="9"/>
      <c r="B82" s="9"/>
      <c r="C82" s="10"/>
      <c r="D82" s="11"/>
    </row>
    <row r="83" spans="1:4" x14ac:dyDescent="0.35">
      <c r="A83" s="9"/>
      <c r="B83" s="9"/>
      <c r="C83" s="10"/>
      <c r="D83" s="11"/>
    </row>
    <row r="84" spans="1:4" x14ac:dyDescent="0.35">
      <c r="A84" s="9"/>
      <c r="B84" s="9"/>
      <c r="C84" s="10"/>
      <c r="D84" s="11"/>
    </row>
    <row r="85" spans="1:4" x14ac:dyDescent="0.35">
      <c r="A85" s="9"/>
      <c r="B85" s="9"/>
      <c r="C85" s="10"/>
      <c r="D85" s="11"/>
    </row>
    <row r="86" spans="1:4" x14ac:dyDescent="0.35">
      <c r="A86" s="9"/>
      <c r="B86" s="9"/>
      <c r="C86" s="10"/>
      <c r="D86" s="11"/>
    </row>
    <row r="87" spans="1:4" x14ac:dyDescent="0.35">
      <c r="A87" s="9"/>
      <c r="B87" s="9"/>
      <c r="C87" s="10"/>
      <c r="D87" s="11"/>
    </row>
    <row r="88" spans="1:4" x14ac:dyDescent="0.35">
      <c r="A88" s="9"/>
      <c r="B88" s="9"/>
      <c r="C88" s="10"/>
      <c r="D88" s="11"/>
    </row>
    <row r="89" spans="1:4" x14ac:dyDescent="0.35">
      <c r="A89" s="9"/>
      <c r="B89" s="9"/>
      <c r="C89" s="10"/>
      <c r="D89" s="11"/>
    </row>
    <row r="90" spans="1:4" x14ac:dyDescent="0.35">
      <c r="A90" s="9"/>
      <c r="B90" s="9"/>
      <c r="C90" s="10"/>
      <c r="D90" s="11"/>
    </row>
    <row r="91" spans="1:4" x14ac:dyDescent="0.35">
      <c r="A91" s="9"/>
      <c r="B91" s="9"/>
      <c r="C91" s="10"/>
      <c r="D91" s="11"/>
    </row>
    <row r="92" spans="1:4" x14ac:dyDescent="0.35">
      <c r="A92" s="9"/>
      <c r="B92" s="9"/>
      <c r="C92" s="10"/>
      <c r="D92" s="11"/>
    </row>
    <row r="93" spans="1:4" x14ac:dyDescent="0.35">
      <c r="A93" s="9"/>
      <c r="B93" s="9"/>
      <c r="C93" s="10"/>
      <c r="D93" s="11"/>
    </row>
    <row r="94" spans="1:4" x14ac:dyDescent="0.35">
      <c r="A94" s="9"/>
      <c r="B94" s="9"/>
      <c r="C94" s="10"/>
      <c r="D94" s="11"/>
    </row>
    <row r="95" spans="1:4" x14ac:dyDescent="0.35">
      <c r="A95" s="9"/>
      <c r="B95" s="9"/>
      <c r="C95" s="10"/>
      <c r="D95" s="11"/>
    </row>
    <row r="96" spans="1:4" x14ac:dyDescent="0.35">
      <c r="A96" s="9"/>
      <c r="B96" s="9"/>
      <c r="C96" s="10"/>
      <c r="D96" s="11"/>
    </row>
    <row r="97" spans="1:4" x14ac:dyDescent="0.35">
      <c r="A97" s="9"/>
      <c r="B97" s="9"/>
      <c r="C97" s="10"/>
      <c r="D97" s="11"/>
    </row>
    <row r="98" spans="1:4" x14ac:dyDescent="0.35">
      <c r="A98" s="9"/>
      <c r="B98" s="9"/>
      <c r="C98" s="10"/>
      <c r="D98" s="11"/>
    </row>
    <row r="99" spans="1:4" x14ac:dyDescent="0.35">
      <c r="A99" s="9"/>
      <c r="B99" s="9"/>
      <c r="C99" s="10"/>
      <c r="D99" s="11"/>
    </row>
    <row r="100" spans="1:4" x14ac:dyDescent="0.35">
      <c r="A100" s="9"/>
      <c r="B100" s="9"/>
      <c r="C100" s="10"/>
      <c r="D100" s="11"/>
    </row>
    <row r="101" spans="1:4" x14ac:dyDescent="0.35">
      <c r="A101" s="9"/>
      <c r="B101" s="9"/>
      <c r="C101" s="10"/>
      <c r="D101" s="11"/>
    </row>
    <row r="102" spans="1:4" x14ac:dyDescent="0.35">
      <c r="A102" s="9"/>
      <c r="B102" s="9"/>
      <c r="C102" s="10"/>
      <c r="D102" s="11"/>
    </row>
    <row r="103" spans="1:4" x14ac:dyDescent="0.35">
      <c r="A103" s="9"/>
      <c r="B103" s="9"/>
      <c r="C103" s="10"/>
      <c r="D103" s="11"/>
    </row>
    <row r="104" spans="1:4" x14ac:dyDescent="0.35">
      <c r="A104" s="9"/>
      <c r="B104" s="9"/>
      <c r="C104" s="10"/>
      <c r="D104" s="11"/>
    </row>
    <row r="105" spans="1:4" x14ac:dyDescent="0.35">
      <c r="A105" s="9"/>
      <c r="B105" s="9"/>
      <c r="C105" s="10"/>
      <c r="D105" s="11"/>
    </row>
    <row r="106" spans="1:4" x14ac:dyDescent="0.35">
      <c r="A106" s="9"/>
      <c r="B106" s="9"/>
      <c r="C106" s="10"/>
      <c r="D106" s="11"/>
    </row>
    <row r="107" spans="1:4" x14ac:dyDescent="0.35">
      <c r="A107" s="9"/>
      <c r="B107" s="9"/>
      <c r="C107" s="10"/>
      <c r="D107" s="11"/>
    </row>
    <row r="108" spans="1:4" x14ac:dyDescent="0.35">
      <c r="A108" s="9"/>
      <c r="B108" s="9"/>
      <c r="C108" s="10"/>
      <c r="D108" s="11"/>
    </row>
    <row r="109" spans="1:4" x14ac:dyDescent="0.35">
      <c r="A109" s="9"/>
      <c r="B109" s="9"/>
      <c r="C109" s="10"/>
      <c r="D109" s="11"/>
    </row>
    <row r="110" spans="1:4" x14ac:dyDescent="0.35">
      <c r="A110" s="9"/>
      <c r="B110" s="9"/>
      <c r="C110" s="10"/>
      <c r="D110" s="11"/>
    </row>
    <row r="111" spans="1:4" x14ac:dyDescent="0.35">
      <c r="A111" s="9"/>
      <c r="B111" s="9"/>
      <c r="C111" s="10"/>
      <c r="D111" s="11"/>
    </row>
    <row r="112" spans="1:4" x14ac:dyDescent="0.35">
      <c r="A112" s="9"/>
      <c r="B112" s="9"/>
      <c r="C112" s="10"/>
      <c r="D112" s="11"/>
    </row>
    <row r="113" spans="1:4" x14ac:dyDescent="0.35">
      <c r="A113" s="9"/>
      <c r="B113" s="9"/>
      <c r="C113" s="10"/>
      <c r="D113" s="11"/>
    </row>
    <row r="114" spans="1:4" x14ac:dyDescent="0.35">
      <c r="A114" s="9"/>
      <c r="B114" s="9"/>
      <c r="C114" s="10"/>
      <c r="D114" s="11"/>
    </row>
    <row r="115" spans="1:4" x14ac:dyDescent="0.35">
      <c r="A115" s="9"/>
      <c r="B115" s="9"/>
      <c r="C115" s="10"/>
      <c r="D115" s="11"/>
    </row>
    <row r="116" spans="1:4" x14ac:dyDescent="0.35">
      <c r="A116" s="9"/>
      <c r="B116" s="9"/>
      <c r="C116" s="10"/>
      <c r="D116" s="11"/>
    </row>
    <row r="117" spans="1:4" x14ac:dyDescent="0.35">
      <c r="A117" s="9"/>
      <c r="B117" s="9"/>
      <c r="C117" s="10"/>
      <c r="D117" s="11"/>
    </row>
    <row r="118" spans="1:4" x14ac:dyDescent="0.35">
      <c r="A118" s="9"/>
      <c r="B118" s="9"/>
      <c r="C118" s="10"/>
      <c r="D118" s="11"/>
    </row>
    <row r="119" spans="1:4" x14ac:dyDescent="0.35">
      <c r="A119" s="9"/>
      <c r="B119" s="9"/>
      <c r="C119" s="10"/>
      <c r="D119" s="11"/>
    </row>
    <row r="120" spans="1:4" x14ac:dyDescent="0.35">
      <c r="A120" s="9"/>
      <c r="B120" s="9"/>
      <c r="C120" s="10"/>
      <c r="D120" s="11"/>
    </row>
    <row r="121" spans="1:4" x14ac:dyDescent="0.35">
      <c r="A121" s="9"/>
      <c r="B121" s="9"/>
      <c r="C121" s="10"/>
      <c r="D121" s="11"/>
    </row>
    <row r="122" spans="1:4" x14ac:dyDescent="0.35">
      <c r="A122" s="9"/>
      <c r="B122" s="9"/>
      <c r="C122" s="10"/>
      <c r="D122" s="11"/>
    </row>
    <row r="123" spans="1:4" x14ac:dyDescent="0.35">
      <c r="A123" s="9"/>
      <c r="B123" s="9"/>
      <c r="C123" s="10"/>
      <c r="D123" s="11"/>
    </row>
    <row r="124" spans="1:4" x14ac:dyDescent="0.35">
      <c r="A124" s="9"/>
      <c r="B124" s="9"/>
      <c r="C124" s="10"/>
      <c r="D124" s="11"/>
    </row>
    <row r="125" spans="1:4" x14ac:dyDescent="0.35">
      <c r="A125" s="9"/>
      <c r="B125" s="9"/>
      <c r="C125" s="10"/>
      <c r="D125" s="11"/>
    </row>
    <row r="126" spans="1:4" x14ac:dyDescent="0.35">
      <c r="A126" s="9"/>
      <c r="B126" s="9"/>
      <c r="C126" s="10"/>
      <c r="D126" s="11"/>
    </row>
    <row r="127" spans="1:4" x14ac:dyDescent="0.35">
      <c r="A127" s="9"/>
      <c r="B127" s="9"/>
      <c r="C127" s="10"/>
      <c r="D127" s="11"/>
    </row>
    <row r="128" spans="1:4" x14ac:dyDescent="0.35">
      <c r="A128" s="9"/>
      <c r="B128" s="9"/>
      <c r="C128" s="10"/>
      <c r="D128" s="11"/>
    </row>
    <row r="129" spans="1:4" x14ac:dyDescent="0.35">
      <c r="A129" s="9"/>
      <c r="B129" s="9"/>
      <c r="C129" s="10"/>
      <c r="D129" s="11"/>
    </row>
    <row r="130" spans="1:4" x14ac:dyDescent="0.35">
      <c r="A130" s="9"/>
      <c r="B130" s="9"/>
      <c r="C130" s="10"/>
      <c r="D130" s="11"/>
    </row>
    <row r="131" spans="1:4" x14ac:dyDescent="0.35">
      <c r="A131" s="9"/>
      <c r="B131" s="9"/>
      <c r="C131" s="10"/>
      <c r="D131" s="11"/>
    </row>
    <row r="132" spans="1:4" x14ac:dyDescent="0.35">
      <c r="A132" s="9"/>
      <c r="B132" s="9"/>
      <c r="C132" s="10"/>
      <c r="D132" s="11"/>
    </row>
    <row r="133" spans="1:4" x14ac:dyDescent="0.35">
      <c r="A133" s="9"/>
      <c r="B133" s="9"/>
      <c r="C133" s="10"/>
      <c r="D133" s="11"/>
    </row>
    <row r="134" spans="1:4" x14ac:dyDescent="0.35">
      <c r="A134" s="9"/>
      <c r="B134" s="9"/>
      <c r="C134" s="10"/>
      <c r="D134" s="11"/>
    </row>
    <row r="135" spans="1:4" x14ac:dyDescent="0.35">
      <c r="A135" s="9"/>
      <c r="B135" s="9"/>
      <c r="C135" s="10"/>
      <c r="D135" s="11"/>
    </row>
    <row r="136" spans="1:4" x14ac:dyDescent="0.35">
      <c r="A136" s="9"/>
      <c r="B136" s="9"/>
      <c r="C136" s="10"/>
      <c r="D136" s="11"/>
    </row>
    <row r="137" spans="1:4" x14ac:dyDescent="0.35">
      <c r="A137" s="9"/>
      <c r="B137" s="9"/>
      <c r="C137" s="10"/>
      <c r="D137" s="11"/>
    </row>
    <row r="138" spans="1:4" x14ac:dyDescent="0.35">
      <c r="A138" s="9"/>
      <c r="B138" s="9"/>
      <c r="C138" s="10"/>
      <c r="D138" s="11"/>
    </row>
    <row r="139" spans="1:4" x14ac:dyDescent="0.35">
      <c r="A139" s="9"/>
      <c r="B139" s="9"/>
      <c r="C139" s="10"/>
      <c r="D139" s="11"/>
    </row>
    <row r="140" spans="1:4" x14ac:dyDescent="0.35">
      <c r="A140" s="9"/>
      <c r="B140" s="9"/>
      <c r="C140" s="10"/>
      <c r="D140" s="11"/>
    </row>
    <row r="141" spans="1:4" x14ac:dyDescent="0.35">
      <c r="A141" s="9"/>
      <c r="B141" s="9"/>
      <c r="C141" s="10"/>
      <c r="D141" s="11"/>
    </row>
    <row r="142" spans="1:4" x14ac:dyDescent="0.35">
      <c r="A142" s="9"/>
      <c r="B142" s="9"/>
      <c r="C142" s="10"/>
      <c r="D142" s="11"/>
    </row>
    <row r="143" spans="1:4" x14ac:dyDescent="0.35">
      <c r="A143" s="9"/>
      <c r="B143" s="9"/>
      <c r="C143" s="10"/>
      <c r="D143" s="11"/>
    </row>
    <row r="144" spans="1:4" x14ac:dyDescent="0.35">
      <c r="A144" s="9"/>
      <c r="B144" s="9"/>
      <c r="C144" s="10"/>
      <c r="D144" s="11"/>
    </row>
    <row r="145" spans="1:4" x14ac:dyDescent="0.35">
      <c r="A145" s="9"/>
      <c r="B145" s="9"/>
      <c r="C145" s="10"/>
      <c r="D145" s="11"/>
    </row>
    <row r="146" spans="1:4" x14ac:dyDescent="0.35">
      <c r="A146" s="9"/>
      <c r="B146" s="9"/>
      <c r="C146" s="10"/>
      <c r="D146" s="11"/>
    </row>
    <row r="147" spans="1:4" x14ac:dyDescent="0.35">
      <c r="A147" s="9"/>
      <c r="B147" s="9"/>
      <c r="C147" s="10"/>
      <c r="D147" s="11"/>
    </row>
    <row r="148" spans="1:4" x14ac:dyDescent="0.35">
      <c r="A148" s="9"/>
      <c r="B148" s="9"/>
      <c r="C148" s="10"/>
      <c r="D148" s="11"/>
    </row>
    <row r="149" spans="1:4" x14ac:dyDescent="0.35">
      <c r="A149" s="9"/>
      <c r="B149" s="9"/>
      <c r="C149" s="10"/>
      <c r="D149" s="11"/>
    </row>
    <row r="150" spans="1:4" x14ac:dyDescent="0.35">
      <c r="A150" s="9"/>
      <c r="B150" s="9"/>
      <c r="C150" s="10"/>
      <c r="D150" s="11"/>
    </row>
    <row r="151" spans="1:4" x14ac:dyDescent="0.35">
      <c r="A151" s="9"/>
      <c r="B151" s="9"/>
      <c r="C151" s="10"/>
      <c r="D151" s="11"/>
    </row>
    <row r="152" spans="1:4" x14ac:dyDescent="0.35">
      <c r="A152" s="9"/>
      <c r="B152" s="9"/>
      <c r="C152" s="10"/>
      <c r="D152" s="11"/>
    </row>
    <row r="153" spans="1:4" x14ac:dyDescent="0.35">
      <c r="A153" s="9"/>
      <c r="B153" s="9"/>
      <c r="C153" s="10"/>
      <c r="D153" s="11"/>
    </row>
    <row r="154" spans="1:4" x14ac:dyDescent="0.35">
      <c r="A154" s="9"/>
      <c r="B154" s="9"/>
      <c r="C154" s="10"/>
      <c r="D154" s="11"/>
    </row>
    <row r="155" spans="1:4" x14ac:dyDescent="0.35">
      <c r="A155" s="9"/>
      <c r="B155" s="9"/>
      <c r="C155" s="10"/>
      <c r="D155" s="11"/>
    </row>
    <row r="156" spans="1:4" x14ac:dyDescent="0.35">
      <c r="A156" s="9"/>
      <c r="B156" s="9"/>
      <c r="C156" s="10"/>
      <c r="D156" s="11"/>
    </row>
    <row r="157" spans="1:4" x14ac:dyDescent="0.35">
      <c r="A157" s="9"/>
      <c r="B157" s="9"/>
      <c r="C157" s="10"/>
      <c r="D157" s="11"/>
    </row>
    <row r="158" spans="1:4" x14ac:dyDescent="0.35">
      <c r="A158" s="9"/>
      <c r="B158" s="9"/>
      <c r="C158" s="10"/>
      <c r="D158" s="11"/>
    </row>
    <row r="159" spans="1:4" x14ac:dyDescent="0.35">
      <c r="A159" s="9"/>
      <c r="B159" s="9"/>
      <c r="C159" s="10"/>
      <c r="D159" s="11"/>
    </row>
    <row r="160" spans="1:4" x14ac:dyDescent="0.35">
      <c r="A160" s="9"/>
      <c r="B160" s="9"/>
      <c r="C160" s="10"/>
      <c r="D160" s="11"/>
    </row>
    <row r="161" spans="1:4" x14ac:dyDescent="0.35">
      <c r="A161" s="9"/>
      <c r="B161" s="9"/>
      <c r="C161" s="10"/>
      <c r="D161" s="11"/>
    </row>
    <row r="162" spans="1:4" x14ac:dyDescent="0.35">
      <c r="A162" s="9"/>
      <c r="B162" s="9"/>
      <c r="C162" s="10"/>
      <c r="D162" s="11"/>
    </row>
    <row r="163" spans="1:4" x14ac:dyDescent="0.35">
      <c r="A163" s="9"/>
      <c r="B163" s="9"/>
      <c r="C163" s="10"/>
      <c r="D163" s="11"/>
    </row>
    <row r="164" spans="1:4" x14ac:dyDescent="0.35">
      <c r="A164" s="9"/>
      <c r="B164" s="9"/>
      <c r="C164" s="10"/>
      <c r="D164" s="11"/>
    </row>
    <row r="165" spans="1:4" x14ac:dyDescent="0.35">
      <c r="A165" s="9"/>
      <c r="B165" s="9"/>
      <c r="C165" s="10"/>
      <c r="D165" s="11"/>
    </row>
    <row r="166" spans="1:4" x14ac:dyDescent="0.35">
      <c r="A166" s="9"/>
      <c r="B166" s="9"/>
      <c r="C166" s="10"/>
      <c r="D166" s="11"/>
    </row>
    <row r="167" spans="1:4" x14ac:dyDescent="0.35">
      <c r="A167" s="9"/>
      <c r="B167" s="9"/>
      <c r="C167" s="10"/>
      <c r="D167" s="11"/>
    </row>
    <row r="168" spans="1:4" x14ac:dyDescent="0.35">
      <c r="A168" s="9"/>
      <c r="B168" s="9"/>
      <c r="C168" s="10"/>
      <c r="D168" s="11"/>
    </row>
    <row r="169" spans="1:4" x14ac:dyDescent="0.35">
      <c r="A169" s="9"/>
      <c r="B169" s="9"/>
      <c r="C169" s="10"/>
      <c r="D169" s="11"/>
    </row>
    <row r="170" spans="1:4" x14ac:dyDescent="0.35">
      <c r="A170" s="9"/>
      <c r="B170" s="9"/>
      <c r="C170" s="10"/>
      <c r="D170" s="11"/>
    </row>
    <row r="171" spans="1:4" x14ac:dyDescent="0.35">
      <c r="A171" s="9"/>
      <c r="B171" s="9"/>
      <c r="C171" s="10"/>
      <c r="D171" s="11"/>
    </row>
    <row r="172" spans="1:4" x14ac:dyDescent="0.35">
      <c r="A172" s="9"/>
      <c r="B172" s="9"/>
      <c r="C172" s="10"/>
      <c r="D172" s="11"/>
    </row>
    <row r="173" spans="1:4" x14ac:dyDescent="0.35">
      <c r="A173" s="9"/>
      <c r="B173" s="9"/>
      <c r="C173" s="10"/>
      <c r="D173" s="11"/>
    </row>
    <row r="174" spans="1:4" x14ac:dyDescent="0.35">
      <c r="A174" s="9"/>
      <c r="B174" s="9"/>
      <c r="C174" s="10"/>
      <c r="D174" s="11"/>
    </row>
    <row r="175" spans="1:4" x14ac:dyDescent="0.35">
      <c r="A175" s="9"/>
      <c r="B175" s="9"/>
      <c r="C175" s="10"/>
      <c r="D175" s="11"/>
    </row>
    <row r="176" spans="1:4" x14ac:dyDescent="0.35">
      <c r="A176" s="9"/>
      <c r="B176" s="9"/>
      <c r="C176" s="10"/>
      <c r="D176" s="11"/>
    </row>
    <row r="177" spans="1:4" x14ac:dyDescent="0.35">
      <c r="A177" s="9"/>
      <c r="B177" s="9"/>
      <c r="C177" s="10"/>
      <c r="D177" s="11"/>
    </row>
    <row r="178" spans="1:4" x14ac:dyDescent="0.35">
      <c r="A178" s="9"/>
      <c r="B178" s="9"/>
      <c r="C178" s="10"/>
      <c r="D178" s="11"/>
    </row>
    <row r="179" spans="1:4" x14ac:dyDescent="0.35">
      <c r="A179" s="9"/>
      <c r="B179" s="9"/>
      <c r="C179" s="10"/>
      <c r="D179" s="11"/>
    </row>
    <row r="180" spans="1:4" x14ac:dyDescent="0.35">
      <c r="A180" s="9"/>
      <c r="B180" s="9"/>
      <c r="C180" s="10"/>
      <c r="D180" s="11"/>
    </row>
    <row r="181" spans="1:4" x14ac:dyDescent="0.35">
      <c r="A181" s="9"/>
      <c r="B181" s="9"/>
      <c r="C181" s="10"/>
      <c r="D181" s="11"/>
    </row>
    <row r="182" spans="1:4" x14ac:dyDescent="0.35">
      <c r="A182" s="9"/>
      <c r="B182" s="9"/>
      <c r="C182" s="10"/>
      <c r="D182" s="11"/>
    </row>
    <row r="183" spans="1:4" x14ac:dyDescent="0.35">
      <c r="A183" s="9"/>
      <c r="B183" s="9"/>
      <c r="C183" s="10"/>
      <c r="D183" s="11"/>
    </row>
    <row r="184" spans="1:4" x14ac:dyDescent="0.35">
      <c r="A184" s="9"/>
      <c r="B184" s="9"/>
      <c r="C184" s="10"/>
      <c r="D184" s="11"/>
    </row>
    <row r="185" spans="1:4" x14ac:dyDescent="0.35">
      <c r="A185" s="9"/>
      <c r="B185" s="9"/>
      <c r="C185" s="10"/>
      <c r="D185" s="11"/>
    </row>
    <row r="186" spans="1:4" x14ac:dyDescent="0.35">
      <c r="A186" s="9"/>
      <c r="B186" s="9"/>
      <c r="C186" s="10"/>
      <c r="D186" s="11"/>
    </row>
    <row r="187" spans="1:4" x14ac:dyDescent="0.35">
      <c r="A187" s="9"/>
      <c r="B187" s="9"/>
      <c r="C187" s="10"/>
      <c r="D187" s="11"/>
    </row>
    <row r="188" spans="1:4" x14ac:dyDescent="0.35">
      <c r="A188" s="9"/>
      <c r="B188" s="9"/>
      <c r="C188" s="10"/>
      <c r="D188" s="11"/>
    </row>
    <row r="189" spans="1:4" x14ac:dyDescent="0.35">
      <c r="A189" s="9"/>
      <c r="B189" s="9"/>
      <c r="C189" s="10"/>
      <c r="D189" s="11"/>
    </row>
    <row r="190" spans="1:4" x14ac:dyDescent="0.35">
      <c r="A190" s="9"/>
      <c r="B190" s="9"/>
      <c r="C190" s="10"/>
      <c r="D190" s="11"/>
    </row>
    <row r="191" spans="1:4" x14ac:dyDescent="0.35">
      <c r="A191" s="9"/>
      <c r="B191" s="9"/>
      <c r="C191" s="10"/>
      <c r="D191" s="11"/>
    </row>
    <row r="192" spans="1:4" x14ac:dyDescent="0.35">
      <c r="A192" s="9"/>
      <c r="B192" s="9"/>
      <c r="C192" s="10"/>
      <c r="D192" s="11"/>
    </row>
    <row r="193" spans="1:4" x14ac:dyDescent="0.35">
      <c r="A193" s="9"/>
      <c r="B193" s="9"/>
      <c r="C193" s="10"/>
      <c r="D193" s="11"/>
    </row>
    <row r="194" spans="1:4" x14ac:dyDescent="0.35">
      <c r="A194" s="9"/>
      <c r="B194" s="9"/>
      <c r="C194" s="10"/>
      <c r="D194" s="11"/>
    </row>
    <row r="195" spans="1:4" x14ac:dyDescent="0.35">
      <c r="A195" s="9"/>
      <c r="B195" s="9"/>
      <c r="C195" s="10"/>
      <c r="D195" s="11"/>
    </row>
    <row r="196" spans="1:4" x14ac:dyDescent="0.35">
      <c r="A196" s="9"/>
      <c r="B196" s="9"/>
      <c r="C196" s="10"/>
      <c r="D196" s="11"/>
    </row>
    <row r="197" spans="1:4" x14ac:dyDescent="0.35">
      <c r="A197" s="9"/>
      <c r="B197" s="9"/>
      <c r="C197" s="10"/>
      <c r="D197" s="11"/>
    </row>
    <row r="198" spans="1:4" x14ac:dyDescent="0.35">
      <c r="A198" s="9"/>
      <c r="B198" s="9"/>
      <c r="C198" s="10"/>
      <c r="D198" s="11"/>
    </row>
    <row r="199" spans="1:4" x14ac:dyDescent="0.35">
      <c r="A199" s="9"/>
      <c r="B199" s="9"/>
      <c r="C199" s="10"/>
      <c r="D199" s="11"/>
    </row>
    <row r="200" spans="1:4" x14ac:dyDescent="0.35">
      <c r="A200" s="9"/>
      <c r="B200" s="9"/>
      <c r="C200" s="10"/>
      <c r="D200" s="11"/>
    </row>
    <row r="201" spans="1:4" x14ac:dyDescent="0.35">
      <c r="A201" s="9"/>
      <c r="B201" s="9"/>
      <c r="C201" s="10"/>
      <c r="D201" s="11"/>
    </row>
    <row r="202" spans="1:4" x14ac:dyDescent="0.35">
      <c r="A202" s="9"/>
      <c r="B202" s="9"/>
      <c r="C202" s="10"/>
      <c r="D202" s="11"/>
    </row>
    <row r="203" spans="1:4" x14ac:dyDescent="0.35">
      <c r="A203" s="9"/>
      <c r="B203" s="9"/>
      <c r="C203" s="10"/>
      <c r="D203" s="11"/>
    </row>
    <row r="204" spans="1:4" x14ac:dyDescent="0.35">
      <c r="A204" s="9"/>
      <c r="B204" s="9"/>
      <c r="C204" s="10"/>
      <c r="D204" s="11"/>
    </row>
    <row r="205" spans="1:4" x14ac:dyDescent="0.35">
      <c r="A205" s="9"/>
      <c r="B205" s="9"/>
      <c r="C205" s="10"/>
      <c r="D205" s="11"/>
    </row>
  </sheetData>
  <phoneticPr fontId="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05"/>
  <sheetViews>
    <sheetView zoomScaleNormal="100" workbookViewId="0">
      <selection activeCell="G25" sqref="G25"/>
    </sheetView>
  </sheetViews>
  <sheetFormatPr defaultColWidth="9" defaultRowHeight="14" x14ac:dyDescent="0.35"/>
  <cols>
    <col min="1" max="1" width="8.1796875" style="7" bestFit="1" customWidth="1"/>
    <col min="2" max="2" width="6.1796875" style="7" bestFit="1" customWidth="1"/>
    <col min="3" max="3" width="8.54296875" style="7" bestFit="1" customWidth="1"/>
    <col min="4" max="4" width="6.1796875" style="7" bestFit="1" customWidth="1"/>
    <col min="5" max="7" width="9" style="2"/>
    <col min="8" max="9" width="12.54296875" style="2" customWidth="1"/>
    <col min="10" max="11" width="9" style="2"/>
    <col min="12" max="12" width="10.7265625" style="2" customWidth="1"/>
    <col min="13" max="16384" width="9" style="2"/>
  </cols>
  <sheetData>
    <row r="1" spans="1:14" ht="16" x14ac:dyDescent="0.45">
      <c r="A1" s="364" t="s">
        <v>3</v>
      </c>
      <c r="B1" s="365">
        <v>2.5000000000000001E-2</v>
      </c>
      <c r="C1" s="364" t="s">
        <v>5</v>
      </c>
      <c r="D1" s="365">
        <v>0.04</v>
      </c>
    </row>
    <row r="2" spans="1:14" x14ac:dyDescent="0.35">
      <c r="A2" s="364" t="s">
        <v>4</v>
      </c>
      <c r="B2" s="366">
        <v>2</v>
      </c>
      <c r="C2" s="364" t="s">
        <v>0</v>
      </c>
      <c r="D2" s="365">
        <v>0.08</v>
      </c>
      <c r="E2" s="4" t="s">
        <v>6</v>
      </c>
      <c r="F2" s="13">
        <f>B2^2</f>
        <v>4</v>
      </c>
      <c r="G2" s="4" t="s">
        <v>1</v>
      </c>
      <c r="H2" s="8">
        <f>D2^2</f>
        <v>6.4000000000000003E-3</v>
      </c>
    </row>
    <row r="4" spans="1:14" x14ac:dyDescent="0.35">
      <c r="A4" s="12" t="s">
        <v>2</v>
      </c>
      <c r="B4" s="12" t="s">
        <v>423</v>
      </c>
      <c r="C4" s="12" t="s">
        <v>424</v>
      </c>
      <c r="D4" s="12" t="s">
        <v>425</v>
      </c>
      <c r="G4" s="1"/>
    </row>
    <row r="5" spans="1:14" x14ac:dyDescent="0.35">
      <c r="A5" s="14">
        <v>1E-4</v>
      </c>
      <c r="B5" s="9">
        <f t="shared" ref="B5:B25" si="0">(1-EXP(-B$2*A5))/B$2</f>
        <v>9.9990000666627665E-5</v>
      </c>
      <c r="C5" s="10">
        <f t="shared" ref="C5:C25" si="1">($H$2/(2*$F$2))*(A5-B5)-($H$2*B5^2)/(4*$B$2) +$D$1*(B5-A5)</f>
        <v>-3.9997226838235856E-10</v>
      </c>
      <c r="D5" s="11">
        <f>-C5/A5+$B$1*B5/A5</f>
        <v>2.500149988934074E-2</v>
      </c>
    </row>
    <row r="6" spans="1:14" x14ac:dyDescent="0.35">
      <c r="A6" s="14">
        <f>A5+0.5</f>
        <v>0.50009999999999999</v>
      </c>
      <c r="B6" s="9">
        <f t="shared" si="0"/>
        <v>0.3160970636798468</v>
      </c>
      <c r="C6" s="10">
        <f t="shared" si="1"/>
        <v>-7.2928489866836222E-3</v>
      </c>
      <c r="D6" s="11">
        <f t="shared" ref="D6:D25" si="2">-C6/A6+$B$1*B6/A6</f>
        <v>3.038447426250708E-2</v>
      </c>
    </row>
    <row r="7" spans="1:14" x14ac:dyDescent="0.35">
      <c r="A7" s="14">
        <f t="shared" ref="A7:A24" si="3">A6+0.5</f>
        <v>1.0001</v>
      </c>
      <c r="B7" s="9">
        <f t="shared" si="0"/>
        <v>0.43234589055675471</v>
      </c>
      <c r="C7" s="10">
        <f t="shared" si="1"/>
        <v>-2.2405499465440265E-2</v>
      </c>
      <c r="D7" s="11">
        <f t="shared" si="2"/>
        <v>3.3210825646794451E-2</v>
      </c>
    </row>
    <row r="8" spans="1:14" x14ac:dyDescent="0.35">
      <c r="A8" s="14">
        <f t="shared" si="3"/>
        <v>1.5001</v>
      </c>
      <c r="B8" s="9">
        <f t="shared" si="0"/>
        <v>0.47511144402506733</v>
      </c>
      <c r="C8" s="10">
        <f t="shared" si="1"/>
        <v>-4.0360136101612237E-2</v>
      </c>
      <c r="D8" s="11">
        <f t="shared" si="2"/>
        <v>3.4822959937496775E-2</v>
      </c>
      <c r="G8" s="1"/>
      <c r="H8" s="1"/>
      <c r="I8" s="1"/>
    </row>
    <row r="9" spans="1:14" x14ac:dyDescent="0.35">
      <c r="A9" s="14">
        <f t="shared" si="3"/>
        <v>2.0000999999999998</v>
      </c>
      <c r="B9" s="9">
        <f t="shared" si="0"/>
        <v>0.49084401193637761</v>
      </c>
      <c r="C9" s="10">
        <f t="shared" si="1"/>
        <v>-5.9355577007337026E-2</v>
      </c>
      <c r="D9" s="11">
        <f t="shared" si="2"/>
        <v>3.5811548075469463E-2</v>
      </c>
      <c r="H9" s="3"/>
      <c r="I9" s="3"/>
      <c r="K9" s="4"/>
      <c r="L9" s="5"/>
      <c r="M9" s="4"/>
      <c r="N9" s="6"/>
    </row>
    <row r="10" spans="1:14" x14ac:dyDescent="0.35">
      <c r="A10" s="14">
        <f t="shared" si="3"/>
        <v>2.5000999999999998</v>
      </c>
      <c r="B10" s="9">
        <f t="shared" si="0"/>
        <v>0.49663170022778219</v>
      </c>
      <c r="C10" s="10">
        <f t="shared" si="1"/>
        <v>-7.8733271787607848E-2</v>
      </c>
      <c r="D10" s="11">
        <f t="shared" si="2"/>
        <v>3.6458167390625337E-2</v>
      </c>
    </row>
    <row r="11" spans="1:14" x14ac:dyDescent="0.35">
      <c r="A11" s="14">
        <f t="shared" si="3"/>
        <v>3.0000999999999998</v>
      </c>
      <c r="B11" s="9">
        <f t="shared" si="0"/>
        <v>0.4987608717620986</v>
      </c>
      <c r="C11" s="10">
        <f t="shared" si="1"/>
        <v>-9.8251503752686417E-2</v>
      </c>
      <c r="D11" s="11">
        <f t="shared" si="2"/>
        <v>3.6905611661857574E-2</v>
      </c>
    </row>
    <row r="12" spans="1:14" x14ac:dyDescent="0.35">
      <c r="A12" s="14">
        <f t="shared" si="3"/>
        <v>3.5000999999999998</v>
      </c>
      <c r="B12" s="9">
        <f t="shared" si="0"/>
        <v>0.49954415019630111</v>
      </c>
      <c r="C12" s="10">
        <f t="shared" si="1"/>
        <v>-0.11782142479870127</v>
      </c>
      <c r="D12" s="11">
        <f t="shared" si="2"/>
        <v>3.7230373004659527E-2</v>
      </c>
    </row>
    <row r="13" spans="1:14" x14ac:dyDescent="0.35">
      <c r="A13" s="14">
        <f t="shared" si="3"/>
        <v>4.0000999999999998</v>
      </c>
      <c r="B13" s="9">
        <f t="shared" si="0"/>
        <v>0.49983230222895714</v>
      </c>
      <c r="C13" s="10">
        <f t="shared" si="1"/>
        <v>-0.13741035961690609</v>
      </c>
      <c r="D13" s="11">
        <f t="shared" si="2"/>
        <v>3.7475604903034934E-2</v>
      </c>
    </row>
    <row r="14" spans="1:14" x14ac:dyDescent="0.35">
      <c r="A14" s="14">
        <f t="shared" si="3"/>
        <v>4.5000999999999998</v>
      </c>
      <c r="B14" s="9">
        <f t="shared" si="0"/>
        <v>0.49993830743770307</v>
      </c>
      <c r="C14" s="10">
        <f t="shared" si="1"/>
        <v>-0.15700628899743699</v>
      </c>
      <c r="D14" s="11">
        <f t="shared" si="2"/>
        <v>3.7666884443318942E-2</v>
      </c>
    </row>
    <row r="15" spans="1:14" x14ac:dyDescent="0.35">
      <c r="A15" s="14">
        <f t="shared" si="3"/>
        <v>5.0000999999999998</v>
      </c>
      <c r="B15" s="9">
        <f t="shared" si="0"/>
        <v>0.49997730457465778</v>
      </c>
      <c r="C15" s="10">
        <f t="shared" si="1"/>
        <v>-0.17660479150474523</v>
      </c>
      <c r="D15" s="11">
        <f t="shared" si="2"/>
        <v>3.7820088422053894E-2</v>
      </c>
    </row>
    <row r="16" spans="1:14" x14ac:dyDescent="0.35">
      <c r="A16" s="14">
        <f t="shared" si="3"/>
        <v>5.5000999999999998</v>
      </c>
      <c r="B16" s="9">
        <f t="shared" si="0"/>
        <v>0.49999165081960795</v>
      </c>
      <c r="C16" s="10">
        <f t="shared" si="1"/>
        <v>-0.19620424060858285</v>
      </c>
      <c r="D16" s="11">
        <f t="shared" si="2"/>
        <v>3.7945497696236986E-2</v>
      </c>
    </row>
    <row r="17" spans="1:4" x14ac:dyDescent="0.35">
      <c r="A17" s="14">
        <f t="shared" si="3"/>
        <v>6.0000999999999998</v>
      </c>
      <c r="B17" s="9">
        <f t="shared" si="0"/>
        <v>0.49999692850818311</v>
      </c>
      <c r="C17" s="10">
        <f t="shared" si="1"/>
        <v>-0.21580403794529329</v>
      </c>
      <c r="D17" s="11">
        <f t="shared" si="2"/>
        <v>3.8050026025899214E-2</v>
      </c>
    </row>
    <row r="18" spans="1:4" x14ac:dyDescent="0.35">
      <c r="A18" s="14">
        <f t="shared" si="3"/>
        <v>6.5000999999999998</v>
      </c>
      <c r="B18" s="9">
        <f t="shared" si="0"/>
        <v>0.49999887006130683</v>
      </c>
      <c r="C18" s="10">
        <f t="shared" si="1"/>
        <v>-0.23540396338964681</v>
      </c>
      <c r="D18" s="11">
        <f t="shared" si="2"/>
        <v>3.8138480198947632E-2</v>
      </c>
    </row>
    <row r="19" spans="1:4" x14ac:dyDescent="0.35">
      <c r="A19" s="14">
        <f t="shared" si="3"/>
        <v>7.0000999999999998</v>
      </c>
      <c r="B19" s="9">
        <f t="shared" si="0"/>
        <v>0.499999584318785</v>
      </c>
      <c r="C19" s="10">
        <f t="shared" si="1"/>
        <v>-0.25500393596215881</v>
      </c>
      <c r="D19" s="11">
        <f t="shared" si="2"/>
        <v>3.8214300591438474E-2</v>
      </c>
    </row>
    <row r="20" spans="1:4" x14ac:dyDescent="0.35">
      <c r="A20" s="14">
        <f t="shared" si="3"/>
        <v>7.5000999999999998</v>
      </c>
      <c r="B20" s="9">
        <f t="shared" si="0"/>
        <v>0.49999984707942691</v>
      </c>
      <c r="C20" s="10">
        <f t="shared" si="1"/>
        <v>-0.27460392587214999</v>
      </c>
      <c r="D20" s="11">
        <f t="shared" si="2"/>
        <v>3.8280012539717564E-2</v>
      </c>
    </row>
    <row r="21" spans="1:4" x14ac:dyDescent="0.35">
      <c r="A21" s="14">
        <f t="shared" si="3"/>
        <v>8.0000999999999998</v>
      </c>
      <c r="B21" s="9">
        <f t="shared" si="0"/>
        <v>0.49999994374366502</v>
      </c>
      <c r="C21" s="10">
        <f t="shared" si="1"/>
        <v>-0.29420392216024321</v>
      </c>
      <c r="D21" s="11">
        <f t="shared" si="2"/>
        <v>3.8337510875343414E-2</v>
      </c>
    </row>
    <row r="22" spans="1:4" x14ac:dyDescent="0.35">
      <c r="A22" s="14">
        <f t="shared" si="3"/>
        <v>8.5000999999999998</v>
      </c>
      <c r="B22" s="9">
        <f t="shared" si="0"/>
        <v>0.49999997930445095</v>
      </c>
      <c r="C22" s="10">
        <f t="shared" si="1"/>
        <v>-0.31380392079470903</v>
      </c>
      <c r="D22" s="11">
        <f t="shared" si="2"/>
        <v>3.838824487680384E-2</v>
      </c>
    </row>
    <row r="23" spans="1:4" x14ac:dyDescent="0.35">
      <c r="A23" s="14">
        <f t="shared" si="3"/>
        <v>9.0000999999999998</v>
      </c>
      <c r="B23" s="9">
        <f t="shared" si="0"/>
        <v>0.49999999238653298</v>
      </c>
      <c r="C23" s="10">
        <f t="shared" si="1"/>
        <v>-0.33340392029235716</v>
      </c>
      <c r="D23" s="11">
        <f t="shared" si="2"/>
        <v>3.843334186309269E-2</v>
      </c>
    </row>
    <row r="24" spans="1:4" x14ac:dyDescent="0.35">
      <c r="A24" s="14">
        <f t="shared" si="3"/>
        <v>9.5000999999999998</v>
      </c>
      <c r="B24" s="9">
        <f t="shared" si="0"/>
        <v>0.49999999719916199</v>
      </c>
      <c r="C24" s="10">
        <f t="shared" si="1"/>
        <v>-0.35300392010755222</v>
      </c>
      <c r="D24" s="11">
        <f t="shared" si="2"/>
        <v>3.8473691859825819E-2</v>
      </c>
    </row>
    <row r="25" spans="1:4" x14ac:dyDescent="0.35">
      <c r="A25" s="14">
        <v>10</v>
      </c>
      <c r="B25" s="9">
        <f t="shared" si="0"/>
        <v>0.49999999896942321</v>
      </c>
      <c r="C25" s="10">
        <f t="shared" si="1"/>
        <v>-0.37260000003957416</v>
      </c>
      <c r="D25" s="11">
        <f t="shared" si="2"/>
        <v>3.8510000001380974E-2</v>
      </c>
    </row>
    <row r="26" spans="1:4" x14ac:dyDescent="0.35">
      <c r="A26" s="9"/>
      <c r="B26" s="9"/>
      <c r="C26" s="10"/>
      <c r="D26" s="11"/>
    </row>
    <row r="27" spans="1:4" x14ac:dyDescent="0.35">
      <c r="A27" s="9"/>
      <c r="B27" s="9"/>
      <c r="C27" s="10"/>
      <c r="D27" s="11"/>
    </row>
    <row r="28" spans="1:4" x14ac:dyDescent="0.35">
      <c r="A28" s="9"/>
      <c r="B28" s="9"/>
      <c r="C28" s="10"/>
      <c r="D28" s="11"/>
    </row>
    <row r="29" spans="1:4" x14ac:dyDescent="0.35">
      <c r="A29" s="9"/>
      <c r="B29" s="9"/>
      <c r="C29" s="10"/>
      <c r="D29" s="11"/>
    </row>
    <row r="30" spans="1:4" x14ac:dyDescent="0.35">
      <c r="A30" s="9"/>
      <c r="B30" s="9"/>
      <c r="C30" s="10"/>
      <c r="D30" s="11"/>
    </row>
    <row r="31" spans="1:4" x14ac:dyDescent="0.35">
      <c r="A31" s="9"/>
      <c r="B31" s="9"/>
      <c r="C31" s="10"/>
      <c r="D31" s="11"/>
    </row>
    <row r="32" spans="1:4" x14ac:dyDescent="0.35">
      <c r="A32" s="9"/>
      <c r="B32" s="9"/>
      <c r="C32" s="10"/>
      <c r="D32" s="11"/>
    </row>
    <row r="33" spans="1:4" x14ac:dyDescent="0.35">
      <c r="A33" s="9"/>
      <c r="B33" s="9"/>
      <c r="C33" s="10"/>
      <c r="D33" s="11"/>
    </row>
    <row r="34" spans="1:4" x14ac:dyDescent="0.35">
      <c r="A34" s="9"/>
      <c r="B34" s="9"/>
      <c r="C34" s="10"/>
      <c r="D34" s="11"/>
    </row>
    <row r="35" spans="1:4" x14ac:dyDescent="0.35">
      <c r="A35" s="9"/>
      <c r="B35" s="9"/>
      <c r="C35" s="10"/>
      <c r="D35" s="11"/>
    </row>
    <row r="36" spans="1:4" x14ac:dyDescent="0.35">
      <c r="A36" s="9"/>
      <c r="B36" s="9"/>
      <c r="C36" s="10"/>
      <c r="D36" s="11"/>
    </row>
    <row r="37" spans="1:4" x14ac:dyDescent="0.35">
      <c r="A37" s="9"/>
      <c r="B37" s="9"/>
      <c r="C37" s="10"/>
      <c r="D37" s="11"/>
    </row>
    <row r="38" spans="1:4" x14ac:dyDescent="0.35">
      <c r="A38" s="9"/>
      <c r="B38" s="9"/>
      <c r="C38" s="10"/>
      <c r="D38" s="11"/>
    </row>
    <row r="39" spans="1:4" x14ac:dyDescent="0.35">
      <c r="A39" s="9"/>
      <c r="B39" s="9"/>
      <c r="C39" s="10"/>
      <c r="D39" s="11"/>
    </row>
    <row r="40" spans="1:4" x14ac:dyDescent="0.35">
      <c r="A40" s="9"/>
      <c r="B40" s="9"/>
      <c r="C40" s="10"/>
      <c r="D40" s="11"/>
    </row>
    <row r="41" spans="1:4" x14ac:dyDescent="0.35">
      <c r="A41" s="9"/>
      <c r="B41" s="9"/>
      <c r="C41" s="10"/>
      <c r="D41" s="11"/>
    </row>
    <row r="42" spans="1:4" x14ac:dyDescent="0.35">
      <c r="A42" s="9"/>
      <c r="B42" s="9"/>
      <c r="C42" s="10"/>
      <c r="D42" s="11"/>
    </row>
    <row r="43" spans="1:4" x14ac:dyDescent="0.35">
      <c r="A43" s="9"/>
      <c r="B43" s="9"/>
      <c r="C43" s="10"/>
      <c r="D43" s="11"/>
    </row>
    <row r="44" spans="1:4" x14ac:dyDescent="0.35">
      <c r="A44" s="9"/>
      <c r="B44" s="9"/>
      <c r="C44" s="10"/>
      <c r="D44" s="11"/>
    </row>
    <row r="45" spans="1:4" x14ac:dyDescent="0.35">
      <c r="A45" s="9"/>
      <c r="B45" s="9"/>
      <c r="C45" s="10"/>
      <c r="D45" s="11"/>
    </row>
    <row r="46" spans="1:4" x14ac:dyDescent="0.35">
      <c r="A46" s="9"/>
      <c r="B46" s="9"/>
      <c r="C46" s="10"/>
      <c r="D46" s="11"/>
    </row>
    <row r="47" spans="1:4" x14ac:dyDescent="0.35">
      <c r="A47" s="9"/>
      <c r="B47" s="9"/>
      <c r="C47" s="10"/>
      <c r="D47" s="11"/>
    </row>
    <row r="48" spans="1:4" x14ac:dyDescent="0.35">
      <c r="A48" s="9"/>
      <c r="B48" s="9"/>
      <c r="C48" s="10"/>
      <c r="D48" s="11"/>
    </row>
    <row r="49" spans="1:4" x14ac:dyDescent="0.35">
      <c r="A49" s="9"/>
      <c r="B49" s="9"/>
      <c r="C49" s="10"/>
      <c r="D49" s="11"/>
    </row>
    <row r="50" spans="1:4" x14ac:dyDescent="0.35">
      <c r="A50" s="9"/>
      <c r="B50" s="9"/>
      <c r="C50" s="10"/>
      <c r="D50" s="11"/>
    </row>
    <row r="51" spans="1:4" x14ac:dyDescent="0.35">
      <c r="A51" s="9"/>
      <c r="B51" s="9"/>
      <c r="C51" s="10"/>
      <c r="D51" s="11"/>
    </row>
    <row r="52" spans="1:4" x14ac:dyDescent="0.35">
      <c r="A52" s="9"/>
      <c r="B52" s="9"/>
      <c r="C52" s="10"/>
      <c r="D52" s="11"/>
    </row>
    <row r="53" spans="1:4" x14ac:dyDescent="0.35">
      <c r="A53" s="9"/>
      <c r="B53" s="9"/>
      <c r="C53" s="10"/>
      <c r="D53" s="11"/>
    </row>
    <row r="54" spans="1:4" x14ac:dyDescent="0.35">
      <c r="A54" s="9"/>
      <c r="B54" s="9"/>
      <c r="C54" s="10"/>
      <c r="D54" s="11"/>
    </row>
    <row r="55" spans="1:4" x14ac:dyDescent="0.35">
      <c r="A55" s="9"/>
      <c r="B55" s="9"/>
      <c r="C55" s="10"/>
      <c r="D55" s="11"/>
    </row>
    <row r="56" spans="1:4" x14ac:dyDescent="0.35">
      <c r="A56" s="9"/>
      <c r="B56" s="9"/>
      <c r="C56" s="10"/>
      <c r="D56" s="11"/>
    </row>
    <row r="57" spans="1:4" x14ac:dyDescent="0.35">
      <c r="A57" s="9"/>
      <c r="B57" s="9"/>
      <c r="C57" s="10"/>
      <c r="D57" s="11"/>
    </row>
    <row r="58" spans="1:4" x14ac:dyDescent="0.35">
      <c r="A58" s="9"/>
      <c r="B58" s="9"/>
      <c r="C58" s="10"/>
      <c r="D58" s="11"/>
    </row>
    <row r="59" spans="1:4" x14ac:dyDescent="0.35">
      <c r="A59" s="9"/>
      <c r="B59" s="9"/>
      <c r="C59" s="10"/>
      <c r="D59" s="11"/>
    </row>
    <row r="60" spans="1:4" x14ac:dyDescent="0.35">
      <c r="A60" s="9"/>
      <c r="B60" s="9"/>
      <c r="C60" s="10"/>
      <c r="D60" s="11"/>
    </row>
    <row r="61" spans="1:4" x14ac:dyDescent="0.35">
      <c r="A61" s="9"/>
      <c r="B61" s="9"/>
      <c r="C61" s="10"/>
      <c r="D61" s="11"/>
    </row>
    <row r="62" spans="1:4" x14ac:dyDescent="0.35">
      <c r="A62" s="9"/>
      <c r="B62" s="9"/>
      <c r="C62" s="10"/>
      <c r="D62" s="11"/>
    </row>
    <row r="63" spans="1:4" x14ac:dyDescent="0.35">
      <c r="A63" s="9"/>
      <c r="B63" s="9"/>
      <c r="C63" s="10"/>
      <c r="D63" s="11"/>
    </row>
    <row r="64" spans="1:4" x14ac:dyDescent="0.35">
      <c r="A64" s="9"/>
      <c r="B64" s="9"/>
      <c r="C64" s="10"/>
      <c r="D64" s="11"/>
    </row>
    <row r="65" spans="1:4" x14ac:dyDescent="0.35">
      <c r="A65" s="9"/>
      <c r="B65" s="9"/>
      <c r="C65" s="10"/>
      <c r="D65" s="11"/>
    </row>
    <row r="66" spans="1:4" x14ac:dyDescent="0.35">
      <c r="A66" s="9"/>
      <c r="B66" s="9"/>
      <c r="C66" s="10"/>
      <c r="D66" s="11"/>
    </row>
    <row r="67" spans="1:4" x14ac:dyDescent="0.35">
      <c r="A67" s="9"/>
      <c r="B67" s="9"/>
      <c r="C67" s="10"/>
      <c r="D67" s="11"/>
    </row>
    <row r="68" spans="1:4" x14ac:dyDescent="0.35">
      <c r="A68" s="9"/>
      <c r="B68" s="9"/>
      <c r="C68" s="10"/>
      <c r="D68" s="11"/>
    </row>
    <row r="69" spans="1:4" x14ac:dyDescent="0.35">
      <c r="A69" s="9"/>
      <c r="B69" s="9"/>
      <c r="C69" s="10"/>
      <c r="D69" s="11"/>
    </row>
    <row r="70" spans="1:4" x14ac:dyDescent="0.35">
      <c r="A70" s="9"/>
      <c r="B70" s="9"/>
      <c r="C70" s="10"/>
      <c r="D70" s="11"/>
    </row>
    <row r="71" spans="1:4" x14ac:dyDescent="0.35">
      <c r="A71" s="9"/>
      <c r="B71" s="9"/>
      <c r="C71" s="10"/>
      <c r="D71" s="11"/>
    </row>
    <row r="72" spans="1:4" x14ac:dyDescent="0.35">
      <c r="A72" s="9"/>
      <c r="B72" s="9"/>
      <c r="C72" s="10"/>
      <c r="D72" s="11"/>
    </row>
    <row r="73" spans="1:4" x14ac:dyDescent="0.35">
      <c r="A73" s="9"/>
      <c r="B73" s="9"/>
      <c r="C73" s="10"/>
      <c r="D73" s="11"/>
    </row>
    <row r="74" spans="1:4" x14ac:dyDescent="0.35">
      <c r="A74" s="9"/>
      <c r="B74" s="9"/>
      <c r="C74" s="10"/>
      <c r="D74" s="11"/>
    </row>
    <row r="75" spans="1:4" x14ac:dyDescent="0.35">
      <c r="A75" s="9"/>
      <c r="B75" s="9"/>
      <c r="C75" s="10"/>
      <c r="D75" s="11"/>
    </row>
    <row r="76" spans="1:4" x14ac:dyDescent="0.35">
      <c r="A76" s="9"/>
      <c r="B76" s="9"/>
      <c r="C76" s="10"/>
      <c r="D76" s="11"/>
    </row>
    <row r="77" spans="1:4" x14ac:dyDescent="0.35">
      <c r="A77" s="9"/>
      <c r="B77" s="9"/>
      <c r="C77" s="10"/>
      <c r="D77" s="11"/>
    </row>
    <row r="78" spans="1:4" x14ac:dyDescent="0.35">
      <c r="A78" s="9"/>
      <c r="B78" s="9"/>
      <c r="C78" s="10"/>
      <c r="D78" s="11"/>
    </row>
    <row r="79" spans="1:4" x14ac:dyDescent="0.35">
      <c r="A79" s="9"/>
      <c r="B79" s="9"/>
      <c r="C79" s="10"/>
      <c r="D79" s="11"/>
    </row>
    <row r="80" spans="1:4" x14ac:dyDescent="0.35">
      <c r="A80" s="9"/>
      <c r="B80" s="9"/>
      <c r="C80" s="10"/>
      <c r="D80" s="11"/>
    </row>
    <row r="81" spans="1:4" x14ac:dyDescent="0.35">
      <c r="A81" s="9"/>
      <c r="B81" s="9"/>
      <c r="C81" s="10"/>
      <c r="D81" s="11"/>
    </row>
    <row r="82" spans="1:4" x14ac:dyDescent="0.35">
      <c r="A82" s="9"/>
      <c r="B82" s="9"/>
      <c r="C82" s="10"/>
      <c r="D82" s="11"/>
    </row>
    <row r="83" spans="1:4" x14ac:dyDescent="0.35">
      <c r="A83" s="9"/>
      <c r="B83" s="9"/>
      <c r="C83" s="10"/>
      <c r="D83" s="11"/>
    </row>
    <row r="84" spans="1:4" x14ac:dyDescent="0.35">
      <c r="A84" s="9"/>
      <c r="B84" s="9"/>
      <c r="C84" s="10"/>
      <c r="D84" s="11"/>
    </row>
    <row r="85" spans="1:4" x14ac:dyDescent="0.35">
      <c r="A85" s="9"/>
      <c r="B85" s="9"/>
      <c r="C85" s="10"/>
      <c r="D85" s="11"/>
    </row>
    <row r="86" spans="1:4" x14ac:dyDescent="0.35">
      <c r="A86" s="9"/>
      <c r="B86" s="9"/>
      <c r="C86" s="10"/>
      <c r="D86" s="11"/>
    </row>
    <row r="87" spans="1:4" x14ac:dyDescent="0.35">
      <c r="A87" s="9"/>
      <c r="B87" s="9"/>
      <c r="C87" s="10"/>
      <c r="D87" s="11"/>
    </row>
    <row r="88" spans="1:4" x14ac:dyDescent="0.35">
      <c r="A88" s="9"/>
      <c r="B88" s="9"/>
      <c r="C88" s="10"/>
      <c r="D88" s="11"/>
    </row>
    <row r="89" spans="1:4" x14ac:dyDescent="0.35">
      <c r="A89" s="9"/>
      <c r="B89" s="9"/>
      <c r="C89" s="10"/>
      <c r="D89" s="11"/>
    </row>
    <row r="90" spans="1:4" x14ac:dyDescent="0.35">
      <c r="A90" s="9"/>
      <c r="B90" s="9"/>
      <c r="C90" s="10"/>
      <c r="D90" s="11"/>
    </row>
    <row r="91" spans="1:4" x14ac:dyDescent="0.35">
      <c r="A91" s="9"/>
      <c r="B91" s="9"/>
      <c r="C91" s="10"/>
      <c r="D91" s="11"/>
    </row>
    <row r="92" spans="1:4" x14ac:dyDescent="0.35">
      <c r="A92" s="9"/>
      <c r="B92" s="9"/>
      <c r="C92" s="10"/>
      <c r="D92" s="11"/>
    </row>
    <row r="93" spans="1:4" x14ac:dyDescent="0.35">
      <c r="A93" s="9"/>
      <c r="B93" s="9"/>
      <c r="C93" s="10"/>
      <c r="D93" s="11"/>
    </row>
    <row r="94" spans="1:4" x14ac:dyDescent="0.35">
      <c r="A94" s="9"/>
      <c r="B94" s="9"/>
      <c r="C94" s="10"/>
      <c r="D94" s="11"/>
    </row>
    <row r="95" spans="1:4" x14ac:dyDescent="0.35">
      <c r="A95" s="9"/>
      <c r="B95" s="9"/>
      <c r="C95" s="10"/>
      <c r="D95" s="11"/>
    </row>
    <row r="96" spans="1:4" x14ac:dyDescent="0.35">
      <c r="A96" s="9"/>
      <c r="B96" s="9"/>
      <c r="C96" s="10"/>
      <c r="D96" s="11"/>
    </row>
    <row r="97" spans="1:4" x14ac:dyDescent="0.35">
      <c r="A97" s="9"/>
      <c r="B97" s="9"/>
      <c r="C97" s="10"/>
      <c r="D97" s="11"/>
    </row>
    <row r="98" spans="1:4" x14ac:dyDescent="0.35">
      <c r="A98" s="9"/>
      <c r="B98" s="9"/>
      <c r="C98" s="10"/>
      <c r="D98" s="11"/>
    </row>
    <row r="99" spans="1:4" x14ac:dyDescent="0.35">
      <c r="A99" s="9"/>
      <c r="B99" s="9"/>
      <c r="C99" s="10"/>
      <c r="D99" s="11"/>
    </row>
    <row r="100" spans="1:4" x14ac:dyDescent="0.35">
      <c r="A100" s="9"/>
      <c r="B100" s="9"/>
      <c r="C100" s="10"/>
      <c r="D100" s="11"/>
    </row>
    <row r="101" spans="1:4" x14ac:dyDescent="0.35">
      <c r="A101" s="9"/>
      <c r="B101" s="9"/>
      <c r="C101" s="10"/>
      <c r="D101" s="11"/>
    </row>
    <row r="102" spans="1:4" x14ac:dyDescent="0.35">
      <c r="A102" s="9"/>
      <c r="B102" s="9"/>
      <c r="C102" s="10"/>
      <c r="D102" s="11"/>
    </row>
    <row r="103" spans="1:4" x14ac:dyDescent="0.35">
      <c r="A103" s="9"/>
      <c r="B103" s="9"/>
      <c r="C103" s="10"/>
      <c r="D103" s="11"/>
    </row>
    <row r="104" spans="1:4" x14ac:dyDescent="0.35">
      <c r="A104" s="9"/>
      <c r="B104" s="9"/>
      <c r="C104" s="10"/>
      <c r="D104" s="11"/>
    </row>
    <row r="105" spans="1:4" x14ac:dyDescent="0.35">
      <c r="A105" s="9"/>
      <c r="B105" s="9"/>
      <c r="C105" s="10"/>
      <c r="D105" s="11"/>
    </row>
    <row r="106" spans="1:4" x14ac:dyDescent="0.35">
      <c r="A106" s="9"/>
      <c r="B106" s="9"/>
      <c r="C106" s="10"/>
      <c r="D106" s="11"/>
    </row>
    <row r="107" spans="1:4" x14ac:dyDescent="0.35">
      <c r="A107" s="9"/>
      <c r="B107" s="9"/>
      <c r="C107" s="10"/>
      <c r="D107" s="11"/>
    </row>
    <row r="108" spans="1:4" x14ac:dyDescent="0.35">
      <c r="A108" s="9"/>
      <c r="B108" s="9"/>
      <c r="C108" s="10"/>
      <c r="D108" s="11"/>
    </row>
    <row r="109" spans="1:4" x14ac:dyDescent="0.35">
      <c r="A109" s="9"/>
      <c r="B109" s="9"/>
      <c r="C109" s="10"/>
      <c r="D109" s="11"/>
    </row>
    <row r="110" spans="1:4" x14ac:dyDescent="0.35">
      <c r="A110" s="9"/>
      <c r="B110" s="9"/>
      <c r="C110" s="10"/>
      <c r="D110" s="11"/>
    </row>
    <row r="111" spans="1:4" x14ac:dyDescent="0.35">
      <c r="A111" s="9"/>
      <c r="B111" s="9"/>
      <c r="C111" s="10"/>
      <c r="D111" s="11"/>
    </row>
    <row r="112" spans="1:4" x14ac:dyDescent="0.35">
      <c r="A112" s="9"/>
      <c r="B112" s="9"/>
      <c r="C112" s="10"/>
      <c r="D112" s="11"/>
    </row>
    <row r="113" spans="1:4" x14ac:dyDescent="0.35">
      <c r="A113" s="9"/>
      <c r="B113" s="9"/>
      <c r="C113" s="10"/>
      <c r="D113" s="11"/>
    </row>
    <row r="114" spans="1:4" x14ac:dyDescent="0.35">
      <c r="A114" s="9"/>
      <c r="B114" s="9"/>
      <c r="C114" s="10"/>
      <c r="D114" s="11"/>
    </row>
    <row r="115" spans="1:4" x14ac:dyDescent="0.35">
      <c r="A115" s="9"/>
      <c r="B115" s="9"/>
      <c r="C115" s="10"/>
      <c r="D115" s="11"/>
    </row>
    <row r="116" spans="1:4" x14ac:dyDescent="0.35">
      <c r="A116" s="9"/>
      <c r="B116" s="9"/>
      <c r="C116" s="10"/>
      <c r="D116" s="11"/>
    </row>
    <row r="117" spans="1:4" x14ac:dyDescent="0.35">
      <c r="A117" s="9"/>
      <c r="B117" s="9"/>
      <c r="C117" s="10"/>
      <c r="D117" s="11"/>
    </row>
    <row r="118" spans="1:4" x14ac:dyDescent="0.35">
      <c r="A118" s="9"/>
      <c r="B118" s="9"/>
      <c r="C118" s="10"/>
      <c r="D118" s="11"/>
    </row>
    <row r="119" spans="1:4" x14ac:dyDescent="0.35">
      <c r="A119" s="9"/>
      <c r="B119" s="9"/>
      <c r="C119" s="10"/>
      <c r="D119" s="11"/>
    </row>
    <row r="120" spans="1:4" x14ac:dyDescent="0.35">
      <c r="A120" s="9"/>
      <c r="B120" s="9"/>
      <c r="C120" s="10"/>
      <c r="D120" s="11"/>
    </row>
    <row r="121" spans="1:4" x14ac:dyDescent="0.35">
      <c r="A121" s="9"/>
      <c r="B121" s="9"/>
      <c r="C121" s="10"/>
      <c r="D121" s="11"/>
    </row>
    <row r="122" spans="1:4" x14ac:dyDescent="0.35">
      <c r="A122" s="9"/>
      <c r="B122" s="9"/>
      <c r="C122" s="10"/>
      <c r="D122" s="11"/>
    </row>
    <row r="123" spans="1:4" x14ac:dyDescent="0.35">
      <c r="A123" s="9"/>
      <c r="B123" s="9"/>
      <c r="C123" s="10"/>
      <c r="D123" s="11"/>
    </row>
    <row r="124" spans="1:4" x14ac:dyDescent="0.35">
      <c r="A124" s="9"/>
      <c r="B124" s="9"/>
      <c r="C124" s="10"/>
      <c r="D124" s="11"/>
    </row>
    <row r="125" spans="1:4" x14ac:dyDescent="0.35">
      <c r="A125" s="9"/>
      <c r="B125" s="9"/>
      <c r="C125" s="10"/>
      <c r="D125" s="11"/>
    </row>
    <row r="126" spans="1:4" x14ac:dyDescent="0.35">
      <c r="A126" s="9"/>
      <c r="B126" s="9"/>
      <c r="C126" s="10"/>
      <c r="D126" s="11"/>
    </row>
    <row r="127" spans="1:4" x14ac:dyDescent="0.35">
      <c r="A127" s="9"/>
      <c r="B127" s="9"/>
      <c r="C127" s="10"/>
      <c r="D127" s="11"/>
    </row>
    <row r="128" spans="1:4" x14ac:dyDescent="0.35">
      <c r="A128" s="9"/>
      <c r="B128" s="9"/>
      <c r="C128" s="10"/>
      <c r="D128" s="11"/>
    </row>
    <row r="129" spans="1:4" x14ac:dyDescent="0.35">
      <c r="A129" s="9"/>
      <c r="B129" s="9"/>
      <c r="C129" s="10"/>
      <c r="D129" s="11"/>
    </row>
    <row r="130" spans="1:4" x14ac:dyDescent="0.35">
      <c r="A130" s="9"/>
      <c r="B130" s="9"/>
      <c r="C130" s="10"/>
      <c r="D130" s="11"/>
    </row>
    <row r="131" spans="1:4" x14ac:dyDescent="0.35">
      <c r="A131" s="9"/>
      <c r="B131" s="9"/>
      <c r="C131" s="10"/>
      <c r="D131" s="11"/>
    </row>
    <row r="132" spans="1:4" x14ac:dyDescent="0.35">
      <c r="A132" s="9"/>
      <c r="B132" s="9"/>
      <c r="C132" s="10"/>
      <c r="D132" s="11"/>
    </row>
    <row r="133" spans="1:4" x14ac:dyDescent="0.35">
      <c r="A133" s="9"/>
      <c r="B133" s="9"/>
      <c r="C133" s="10"/>
      <c r="D133" s="11"/>
    </row>
    <row r="134" spans="1:4" x14ac:dyDescent="0.35">
      <c r="A134" s="9"/>
      <c r="B134" s="9"/>
      <c r="C134" s="10"/>
      <c r="D134" s="11"/>
    </row>
    <row r="135" spans="1:4" x14ac:dyDescent="0.35">
      <c r="A135" s="9"/>
      <c r="B135" s="9"/>
      <c r="C135" s="10"/>
      <c r="D135" s="11"/>
    </row>
    <row r="136" spans="1:4" x14ac:dyDescent="0.35">
      <c r="A136" s="9"/>
      <c r="B136" s="9"/>
      <c r="C136" s="10"/>
      <c r="D136" s="11"/>
    </row>
    <row r="137" spans="1:4" x14ac:dyDescent="0.35">
      <c r="A137" s="9"/>
      <c r="B137" s="9"/>
      <c r="C137" s="10"/>
      <c r="D137" s="11"/>
    </row>
    <row r="138" spans="1:4" x14ac:dyDescent="0.35">
      <c r="A138" s="9"/>
      <c r="B138" s="9"/>
      <c r="C138" s="10"/>
      <c r="D138" s="11"/>
    </row>
    <row r="139" spans="1:4" x14ac:dyDescent="0.35">
      <c r="A139" s="9"/>
      <c r="B139" s="9"/>
      <c r="C139" s="10"/>
      <c r="D139" s="11"/>
    </row>
    <row r="140" spans="1:4" x14ac:dyDescent="0.35">
      <c r="A140" s="9"/>
      <c r="B140" s="9"/>
      <c r="C140" s="10"/>
      <c r="D140" s="11"/>
    </row>
    <row r="141" spans="1:4" x14ac:dyDescent="0.35">
      <c r="A141" s="9"/>
      <c r="B141" s="9"/>
      <c r="C141" s="10"/>
      <c r="D141" s="11"/>
    </row>
    <row r="142" spans="1:4" x14ac:dyDescent="0.35">
      <c r="A142" s="9"/>
      <c r="B142" s="9"/>
      <c r="C142" s="10"/>
      <c r="D142" s="11"/>
    </row>
    <row r="143" spans="1:4" x14ac:dyDescent="0.35">
      <c r="A143" s="9"/>
      <c r="B143" s="9"/>
      <c r="C143" s="10"/>
      <c r="D143" s="11"/>
    </row>
    <row r="144" spans="1:4" x14ac:dyDescent="0.35">
      <c r="A144" s="9"/>
      <c r="B144" s="9"/>
      <c r="C144" s="10"/>
      <c r="D144" s="11"/>
    </row>
    <row r="145" spans="1:4" x14ac:dyDescent="0.35">
      <c r="A145" s="9"/>
      <c r="B145" s="9"/>
      <c r="C145" s="10"/>
      <c r="D145" s="11"/>
    </row>
    <row r="146" spans="1:4" x14ac:dyDescent="0.35">
      <c r="A146" s="9"/>
      <c r="B146" s="9"/>
      <c r="C146" s="10"/>
      <c r="D146" s="11"/>
    </row>
    <row r="147" spans="1:4" x14ac:dyDescent="0.35">
      <c r="A147" s="9"/>
      <c r="B147" s="9"/>
      <c r="C147" s="10"/>
      <c r="D147" s="11"/>
    </row>
    <row r="148" spans="1:4" x14ac:dyDescent="0.35">
      <c r="A148" s="9"/>
      <c r="B148" s="9"/>
      <c r="C148" s="10"/>
      <c r="D148" s="11"/>
    </row>
    <row r="149" spans="1:4" x14ac:dyDescent="0.35">
      <c r="A149" s="9"/>
      <c r="B149" s="9"/>
      <c r="C149" s="10"/>
      <c r="D149" s="11"/>
    </row>
    <row r="150" spans="1:4" x14ac:dyDescent="0.35">
      <c r="A150" s="9"/>
      <c r="B150" s="9"/>
      <c r="C150" s="10"/>
      <c r="D150" s="11"/>
    </row>
    <row r="151" spans="1:4" x14ac:dyDescent="0.35">
      <c r="A151" s="9"/>
      <c r="B151" s="9"/>
      <c r="C151" s="10"/>
      <c r="D151" s="11"/>
    </row>
    <row r="152" spans="1:4" x14ac:dyDescent="0.35">
      <c r="A152" s="9"/>
      <c r="B152" s="9"/>
      <c r="C152" s="10"/>
      <c r="D152" s="11"/>
    </row>
    <row r="153" spans="1:4" x14ac:dyDescent="0.35">
      <c r="A153" s="9"/>
      <c r="B153" s="9"/>
      <c r="C153" s="10"/>
      <c r="D153" s="11"/>
    </row>
    <row r="154" spans="1:4" x14ac:dyDescent="0.35">
      <c r="A154" s="9"/>
      <c r="B154" s="9"/>
      <c r="C154" s="10"/>
      <c r="D154" s="11"/>
    </row>
    <row r="155" spans="1:4" x14ac:dyDescent="0.35">
      <c r="A155" s="9"/>
      <c r="B155" s="9"/>
      <c r="C155" s="10"/>
      <c r="D155" s="11"/>
    </row>
    <row r="156" spans="1:4" x14ac:dyDescent="0.35">
      <c r="A156" s="9"/>
      <c r="B156" s="9"/>
      <c r="C156" s="10"/>
      <c r="D156" s="11"/>
    </row>
    <row r="157" spans="1:4" x14ac:dyDescent="0.35">
      <c r="A157" s="9"/>
      <c r="B157" s="9"/>
      <c r="C157" s="10"/>
      <c r="D157" s="11"/>
    </row>
    <row r="158" spans="1:4" x14ac:dyDescent="0.35">
      <c r="A158" s="9"/>
      <c r="B158" s="9"/>
      <c r="C158" s="10"/>
      <c r="D158" s="11"/>
    </row>
    <row r="159" spans="1:4" x14ac:dyDescent="0.35">
      <c r="A159" s="9"/>
      <c r="B159" s="9"/>
      <c r="C159" s="10"/>
      <c r="D159" s="11"/>
    </row>
    <row r="160" spans="1:4" x14ac:dyDescent="0.35">
      <c r="A160" s="9"/>
      <c r="B160" s="9"/>
      <c r="C160" s="10"/>
      <c r="D160" s="11"/>
    </row>
    <row r="161" spans="1:4" x14ac:dyDescent="0.35">
      <c r="A161" s="9"/>
      <c r="B161" s="9"/>
      <c r="C161" s="10"/>
      <c r="D161" s="11"/>
    </row>
    <row r="162" spans="1:4" x14ac:dyDescent="0.35">
      <c r="A162" s="9"/>
      <c r="B162" s="9"/>
      <c r="C162" s="10"/>
      <c r="D162" s="11"/>
    </row>
    <row r="163" spans="1:4" x14ac:dyDescent="0.35">
      <c r="A163" s="9"/>
      <c r="B163" s="9"/>
      <c r="C163" s="10"/>
      <c r="D163" s="11"/>
    </row>
    <row r="164" spans="1:4" x14ac:dyDescent="0.35">
      <c r="A164" s="9"/>
      <c r="B164" s="9"/>
      <c r="C164" s="10"/>
      <c r="D164" s="11"/>
    </row>
    <row r="165" spans="1:4" x14ac:dyDescent="0.35">
      <c r="A165" s="9"/>
      <c r="B165" s="9"/>
      <c r="C165" s="10"/>
      <c r="D165" s="11"/>
    </row>
    <row r="166" spans="1:4" x14ac:dyDescent="0.35">
      <c r="A166" s="9"/>
      <c r="B166" s="9"/>
      <c r="C166" s="10"/>
      <c r="D166" s="11"/>
    </row>
    <row r="167" spans="1:4" x14ac:dyDescent="0.35">
      <c r="A167" s="9"/>
      <c r="B167" s="9"/>
      <c r="C167" s="10"/>
      <c r="D167" s="11"/>
    </row>
    <row r="168" spans="1:4" x14ac:dyDescent="0.35">
      <c r="A168" s="9"/>
      <c r="B168" s="9"/>
      <c r="C168" s="10"/>
      <c r="D168" s="11"/>
    </row>
    <row r="169" spans="1:4" x14ac:dyDescent="0.35">
      <c r="A169" s="9"/>
      <c r="B169" s="9"/>
      <c r="C169" s="10"/>
      <c r="D169" s="11"/>
    </row>
    <row r="170" spans="1:4" x14ac:dyDescent="0.35">
      <c r="A170" s="9"/>
      <c r="B170" s="9"/>
      <c r="C170" s="10"/>
      <c r="D170" s="11"/>
    </row>
    <row r="171" spans="1:4" x14ac:dyDescent="0.35">
      <c r="A171" s="9"/>
      <c r="B171" s="9"/>
      <c r="C171" s="10"/>
      <c r="D171" s="11"/>
    </row>
    <row r="172" spans="1:4" x14ac:dyDescent="0.35">
      <c r="A172" s="9"/>
      <c r="B172" s="9"/>
      <c r="C172" s="10"/>
      <c r="D172" s="11"/>
    </row>
    <row r="173" spans="1:4" x14ac:dyDescent="0.35">
      <c r="A173" s="9"/>
      <c r="B173" s="9"/>
      <c r="C173" s="10"/>
      <c r="D173" s="11"/>
    </row>
    <row r="174" spans="1:4" x14ac:dyDescent="0.35">
      <c r="A174" s="9"/>
      <c r="B174" s="9"/>
      <c r="C174" s="10"/>
      <c r="D174" s="11"/>
    </row>
    <row r="175" spans="1:4" x14ac:dyDescent="0.35">
      <c r="A175" s="9"/>
      <c r="B175" s="9"/>
      <c r="C175" s="10"/>
      <c r="D175" s="11"/>
    </row>
    <row r="176" spans="1:4" x14ac:dyDescent="0.35">
      <c r="A176" s="9"/>
      <c r="B176" s="9"/>
      <c r="C176" s="10"/>
      <c r="D176" s="11"/>
    </row>
    <row r="177" spans="1:4" x14ac:dyDescent="0.35">
      <c r="A177" s="9"/>
      <c r="B177" s="9"/>
      <c r="C177" s="10"/>
      <c r="D177" s="11"/>
    </row>
    <row r="178" spans="1:4" x14ac:dyDescent="0.35">
      <c r="A178" s="9"/>
      <c r="B178" s="9"/>
      <c r="C178" s="10"/>
      <c r="D178" s="11"/>
    </row>
    <row r="179" spans="1:4" x14ac:dyDescent="0.35">
      <c r="A179" s="9"/>
      <c r="B179" s="9"/>
      <c r="C179" s="10"/>
      <c r="D179" s="11"/>
    </row>
    <row r="180" spans="1:4" x14ac:dyDescent="0.35">
      <c r="A180" s="9"/>
      <c r="B180" s="9"/>
      <c r="C180" s="10"/>
      <c r="D180" s="11"/>
    </row>
    <row r="181" spans="1:4" x14ac:dyDescent="0.35">
      <c r="A181" s="9"/>
      <c r="B181" s="9"/>
      <c r="C181" s="10"/>
      <c r="D181" s="11"/>
    </row>
    <row r="182" spans="1:4" x14ac:dyDescent="0.35">
      <c r="A182" s="9"/>
      <c r="B182" s="9"/>
      <c r="C182" s="10"/>
      <c r="D182" s="11"/>
    </row>
    <row r="183" spans="1:4" x14ac:dyDescent="0.35">
      <c r="A183" s="9"/>
      <c r="B183" s="9"/>
      <c r="C183" s="10"/>
      <c r="D183" s="11"/>
    </row>
    <row r="184" spans="1:4" x14ac:dyDescent="0.35">
      <c r="A184" s="9"/>
      <c r="B184" s="9"/>
      <c r="C184" s="10"/>
      <c r="D184" s="11"/>
    </row>
    <row r="185" spans="1:4" x14ac:dyDescent="0.35">
      <c r="A185" s="9"/>
      <c r="B185" s="9"/>
      <c r="C185" s="10"/>
      <c r="D185" s="11"/>
    </row>
    <row r="186" spans="1:4" x14ac:dyDescent="0.35">
      <c r="A186" s="9"/>
      <c r="B186" s="9"/>
      <c r="C186" s="10"/>
      <c r="D186" s="11"/>
    </row>
    <row r="187" spans="1:4" x14ac:dyDescent="0.35">
      <c r="A187" s="9"/>
      <c r="B187" s="9"/>
      <c r="C187" s="10"/>
      <c r="D187" s="11"/>
    </row>
    <row r="188" spans="1:4" x14ac:dyDescent="0.35">
      <c r="A188" s="9"/>
      <c r="B188" s="9"/>
      <c r="C188" s="10"/>
      <c r="D188" s="11"/>
    </row>
    <row r="189" spans="1:4" x14ac:dyDescent="0.35">
      <c r="A189" s="9"/>
      <c r="B189" s="9"/>
      <c r="C189" s="10"/>
      <c r="D189" s="11"/>
    </row>
    <row r="190" spans="1:4" x14ac:dyDescent="0.35">
      <c r="A190" s="9"/>
      <c r="B190" s="9"/>
      <c r="C190" s="10"/>
      <c r="D190" s="11"/>
    </row>
    <row r="191" spans="1:4" x14ac:dyDescent="0.35">
      <c r="A191" s="9"/>
      <c r="B191" s="9"/>
      <c r="C191" s="10"/>
      <c r="D191" s="11"/>
    </row>
    <row r="192" spans="1:4" x14ac:dyDescent="0.35">
      <c r="A192" s="9"/>
      <c r="B192" s="9"/>
      <c r="C192" s="10"/>
      <c r="D192" s="11"/>
    </row>
    <row r="193" spans="1:4" x14ac:dyDescent="0.35">
      <c r="A193" s="9"/>
      <c r="B193" s="9"/>
      <c r="C193" s="10"/>
      <c r="D193" s="11"/>
    </row>
    <row r="194" spans="1:4" x14ac:dyDescent="0.35">
      <c r="A194" s="9"/>
      <c r="B194" s="9"/>
      <c r="C194" s="10"/>
      <c r="D194" s="11"/>
    </row>
    <row r="195" spans="1:4" x14ac:dyDescent="0.35">
      <c r="A195" s="9"/>
      <c r="B195" s="9"/>
      <c r="C195" s="10"/>
      <c r="D195" s="11"/>
    </row>
    <row r="196" spans="1:4" x14ac:dyDescent="0.35">
      <c r="A196" s="9"/>
      <c r="B196" s="9"/>
      <c r="C196" s="10"/>
      <c r="D196" s="11"/>
    </row>
    <row r="197" spans="1:4" x14ac:dyDescent="0.35">
      <c r="A197" s="9"/>
      <c r="B197" s="9"/>
      <c r="C197" s="10"/>
      <c r="D197" s="11"/>
    </row>
    <row r="198" spans="1:4" x14ac:dyDescent="0.35">
      <c r="A198" s="9"/>
      <c r="B198" s="9"/>
      <c r="C198" s="10"/>
      <c r="D198" s="11"/>
    </row>
    <row r="199" spans="1:4" x14ac:dyDescent="0.35">
      <c r="A199" s="9"/>
      <c r="B199" s="9"/>
      <c r="C199" s="10"/>
      <c r="D199" s="11"/>
    </row>
    <row r="200" spans="1:4" x14ac:dyDescent="0.35">
      <c r="A200" s="9"/>
      <c r="B200" s="9"/>
      <c r="C200" s="10"/>
      <c r="D200" s="11"/>
    </row>
    <row r="201" spans="1:4" x14ac:dyDescent="0.35">
      <c r="A201" s="9"/>
      <c r="B201" s="9"/>
      <c r="C201" s="10"/>
      <c r="D201" s="11"/>
    </row>
    <row r="202" spans="1:4" x14ac:dyDescent="0.35">
      <c r="A202" s="9"/>
      <c r="B202" s="9"/>
      <c r="C202" s="10"/>
      <c r="D202" s="11"/>
    </row>
    <row r="203" spans="1:4" x14ac:dyDescent="0.35">
      <c r="A203" s="9"/>
      <c r="B203" s="9"/>
      <c r="C203" s="10"/>
      <c r="D203" s="11"/>
    </row>
    <row r="204" spans="1:4" x14ac:dyDescent="0.35">
      <c r="A204" s="9"/>
      <c r="B204" s="9"/>
      <c r="C204" s="10"/>
      <c r="D204" s="11"/>
    </row>
    <row r="205" spans="1:4" x14ac:dyDescent="0.35">
      <c r="A205" s="9"/>
      <c r="B205" s="9"/>
      <c r="C205" s="10"/>
      <c r="D205" s="11"/>
    </row>
  </sheetData>
  <phoneticPr fontId="3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5"/>
  <sheetViews>
    <sheetView showGridLines="0" zoomScaleNormal="100" workbookViewId="0">
      <selection activeCell="G25" sqref="G25"/>
    </sheetView>
  </sheetViews>
  <sheetFormatPr defaultColWidth="9" defaultRowHeight="14" x14ac:dyDescent="0.35"/>
  <cols>
    <col min="1" max="1" width="8.1796875" style="7" bestFit="1" customWidth="1"/>
    <col min="2" max="2" width="6.1796875" style="7" bestFit="1" customWidth="1"/>
    <col min="3" max="3" width="8.54296875" style="7" bestFit="1" customWidth="1"/>
    <col min="4" max="4" width="6.1796875" style="7" bestFit="1" customWidth="1"/>
    <col min="5" max="7" width="9" style="2"/>
    <col min="8" max="9" width="12.54296875" style="2" customWidth="1"/>
    <col min="10" max="11" width="9" style="2"/>
    <col min="12" max="12" width="10.7265625" style="2" customWidth="1"/>
    <col min="13" max="16384" width="9" style="2"/>
  </cols>
  <sheetData>
    <row r="1" spans="1:14" ht="16" x14ac:dyDescent="0.45">
      <c r="A1" s="364" t="s">
        <v>3</v>
      </c>
      <c r="B1" s="365">
        <v>0.02</v>
      </c>
      <c r="C1" s="364" t="s">
        <v>5</v>
      </c>
      <c r="D1" s="365">
        <v>0.04</v>
      </c>
    </row>
    <row r="2" spans="1:14" x14ac:dyDescent="0.35">
      <c r="A2" s="364" t="s">
        <v>4</v>
      </c>
      <c r="B2" s="366">
        <v>0.3</v>
      </c>
      <c r="C2" s="364" t="s">
        <v>0</v>
      </c>
      <c r="D2" s="365">
        <v>0.08</v>
      </c>
      <c r="E2" s="4" t="s">
        <v>6</v>
      </c>
      <c r="F2" s="13">
        <f>B2^2</f>
        <v>0.09</v>
      </c>
      <c r="G2" s="4" t="s">
        <v>1</v>
      </c>
      <c r="H2" s="8">
        <f>D2^2</f>
        <v>6.4000000000000003E-3</v>
      </c>
    </row>
    <row r="4" spans="1:14" x14ac:dyDescent="0.35">
      <c r="A4" s="12" t="s">
        <v>2</v>
      </c>
      <c r="B4" s="12" t="s">
        <v>423</v>
      </c>
      <c r="C4" s="12" t="s">
        <v>424</v>
      </c>
      <c r="D4" s="12" t="s">
        <v>425</v>
      </c>
      <c r="G4" s="1"/>
    </row>
    <row r="5" spans="1:14" x14ac:dyDescent="0.35">
      <c r="A5" s="14">
        <v>1.0000000000000001E-5</v>
      </c>
      <c r="B5" s="9">
        <f t="shared" ref="B5:B25" si="0">(1-EXP(-B$2*A5))/B$2</f>
        <v>9.9999850000642709E-6</v>
      </c>
      <c r="C5" s="10">
        <f t="shared" ref="C5:C25" si="1">($H$2/(2*$F$2))*(A5-B5)-($H$2*B5^2)/(4*$B$2) +$D$1*(B5-A5)</f>
        <v>-5.9999811436309275E-13</v>
      </c>
      <c r="D5" s="11">
        <f>-C5/A5+$B$1*B5/A5</f>
        <v>2.0000029999939974E-2</v>
      </c>
    </row>
    <row r="6" spans="1:14" x14ac:dyDescent="0.35">
      <c r="A6" s="14">
        <f>A5+0.5</f>
        <v>0.50000999999999995</v>
      </c>
      <c r="B6" s="9">
        <f t="shared" si="0"/>
        <v>0.46431535231666099</v>
      </c>
      <c r="C6" s="10">
        <f t="shared" si="1"/>
        <v>-1.3084495260429912E-3</v>
      </c>
      <c r="D6" s="11">
        <f t="shared" ref="D6:D25" si="2">-C6/A6+$B$1*B6/A6</f>
        <v>2.1189089362965166E-2</v>
      </c>
    </row>
    <row r="7" spans="1:14" x14ac:dyDescent="0.35">
      <c r="A7" s="14">
        <f t="shared" ref="A7:A24" si="3">A6+0.5</f>
        <v>1.0000100000000001</v>
      </c>
      <c r="B7" s="9">
        <f t="shared" si="0"/>
        <v>0.8639466725653685</v>
      </c>
      <c r="C7" s="10">
        <f t="shared" si="1"/>
        <v>-4.5855464492389241E-3</v>
      </c>
      <c r="D7" s="11">
        <f t="shared" si="2"/>
        <v>2.1864261257933712E-2</v>
      </c>
    </row>
    <row r="8" spans="1:14" x14ac:dyDescent="0.35">
      <c r="A8" s="14">
        <f t="shared" si="3"/>
        <v>1.5000100000000001</v>
      </c>
      <c r="B8" s="9">
        <f t="shared" si="0"/>
        <v>1.2079125375327076</v>
      </c>
      <c r="C8" s="10">
        <f t="shared" si="1"/>
        <v>-9.0798253353855038E-3</v>
      </c>
      <c r="D8" s="11">
        <f t="shared" si="2"/>
        <v>2.2158569666895323E-2</v>
      </c>
      <c r="G8" s="1"/>
      <c r="H8" s="1"/>
      <c r="I8" s="1"/>
    </row>
    <row r="9" spans="1:14" x14ac:dyDescent="0.35">
      <c r="A9" s="14">
        <f t="shared" si="3"/>
        <v>2.0000100000000001</v>
      </c>
      <c r="B9" s="9">
        <f t="shared" si="0"/>
        <v>1.5039667011280409</v>
      </c>
      <c r="C9" s="10">
        <f t="shared" si="1"/>
        <v>-1.4268188020419173E-2</v>
      </c>
      <c r="D9" s="11">
        <f t="shared" si="2"/>
        <v>2.2173650153239226E-2</v>
      </c>
      <c r="H9" s="3"/>
      <c r="I9" s="3"/>
      <c r="K9" s="4"/>
      <c r="L9" s="5"/>
      <c r="M9" s="4"/>
      <c r="N9" s="6"/>
    </row>
    <row r="10" spans="1:14" x14ac:dyDescent="0.35">
      <c r="A10" s="14">
        <f t="shared" si="3"/>
        <v>2.5000100000000001</v>
      </c>
      <c r="B10" s="9">
        <f t="shared" si="0"/>
        <v>1.758782881188393</v>
      </c>
      <c r="C10" s="10">
        <f t="shared" si="1"/>
        <v>-1.9792034607134319E-2</v>
      </c>
      <c r="D10" s="11">
        <f t="shared" si="2"/>
        <v>2.1986988944405095E-2</v>
      </c>
    </row>
    <row r="11" spans="1:14" x14ac:dyDescent="0.35">
      <c r="A11" s="14">
        <f t="shared" si="3"/>
        <v>3.0000100000000001</v>
      </c>
      <c r="B11" s="9">
        <f t="shared" si="0"/>
        <v>1.9781051998885018</v>
      </c>
      <c r="C11" s="10">
        <f t="shared" si="1"/>
        <v>-2.541060008134495E-2</v>
      </c>
      <c r="D11" s="11">
        <f t="shared" si="2"/>
        <v>2.1657495834718876E-2</v>
      </c>
    </row>
    <row r="12" spans="1:14" x14ac:dyDescent="0.35">
      <c r="A12" s="14">
        <f t="shared" si="3"/>
        <v>3.5000100000000001</v>
      </c>
      <c r="B12" s="9">
        <f t="shared" si="0"/>
        <v>2.1668776690017242</v>
      </c>
      <c r="C12" s="10">
        <f t="shared" si="1"/>
        <v>-3.0966946355112403E-2</v>
      </c>
      <c r="D12" s="11">
        <f t="shared" si="2"/>
        <v>2.1229796410623652E-2</v>
      </c>
    </row>
    <row r="13" spans="1:14" x14ac:dyDescent="0.35">
      <c r="A13" s="14">
        <f t="shared" si="3"/>
        <v>4.0000099999999996</v>
      </c>
      <c r="B13" s="9">
        <f t="shared" si="0"/>
        <v>2.3293556388969279</v>
      </c>
      <c r="C13" s="10">
        <f t="shared" si="1"/>
        <v>-3.6363251520249641E-2</v>
      </c>
      <c r="D13" s="11">
        <f t="shared" si="2"/>
        <v>2.0737539230698977E-2</v>
      </c>
    </row>
    <row r="14" spans="1:14" x14ac:dyDescent="0.35">
      <c r="A14" s="14">
        <f t="shared" si="3"/>
        <v>4.5000099999999996</v>
      </c>
      <c r="B14" s="9">
        <f t="shared" si="0"/>
        <v>2.4692017235790793</v>
      </c>
      <c r="C14" s="10">
        <f t="shared" si="1"/>
        <v>-4.1542919371075543E-2</v>
      </c>
      <c r="D14" s="11">
        <f t="shared" si="2"/>
        <v>2.0205944840713051E-2</v>
      </c>
    </row>
    <row r="15" spans="1:14" x14ac:dyDescent="0.35">
      <c r="A15" s="14">
        <f t="shared" si="3"/>
        <v>5.0000099999999996</v>
      </c>
      <c r="B15" s="9">
        <f t="shared" si="0"/>
        <v>2.5895683641368219</v>
      </c>
      <c r="C15" s="10">
        <f t="shared" si="1"/>
        <v>-4.6477683604040379E-2</v>
      </c>
      <c r="D15" s="11">
        <f t="shared" si="2"/>
        <v>1.9653770869813625E-2</v>
      </c>
    </row>
    <row r="16" spans="1:14" x14ac:dyDescent="0.35">
      <c r="A16" s="14">
        <f t="shared" si="3"/>
        <v>5.5000099999999996</v>
      </c>
      <c r="B16" s="9">
        <f t="shared" si="0"/>
        <v>2.6931688917603585</v>
      </c>
      <c r="C16" s="10">
        <f t="shared" si="1"/>
        <v>-5.1158362327531112E-2</v>
      </c>
      <c r="D16" s="11">
        <f t="shared" si="2"/>
        <v>1.909482712990309E-2</v>
      </c>
    </row>
    <row r="17" spans="1:4" x14ac:dyDescent="0.35">
      <c r="A17" s="14">
        <f t="shared" si="3"/>
        <v>6.0000099999999996</v>
      </c>
      <c r="B17" s="9">
        <f t="shared" si="0"/>
        <v>2.7823386922477806</v>
      </c>
      <c r="C17" s="10">
        <f t="shared" si="1"/>
        <v>-5.5588273892476142E-2</v>
      </c>
      <c r="D17" s="11">
        <f t="shared" si="2"/>
        <v>1.8539143724332421E-2</v>
      </c>
    </row>
    <row r="18" spans="1:4" x14ac:dyDescent="0.35">
      <c r="A18" s="14">
        <f t="shared" si="3"/>
        <v>6.5000099999999996</v>
      </c>
      <c r="B18" s="9">
        <f t="shared" si="0"/>
        <v>2.8590878507835367</v>
      </c>
      <c r="C18" s="10">
        <f t="shared" si="1"/>
        <v>-5.977858735739594E-2</v>
      </c>
      <c r="D18" s="11">
        <f t="shared" si="2"/>
        <v>1.7993871451438794E-2</v>
      </c>
    </row>
    <row r="19" spans="1:4" x14ac:dyDescent="0.35">
      <c r="A19" s="14">
        <f t="shared" si="3"/>
        <v>7.0000099999999996</v>
      </c>
      <c r="B19" s="9">
        <f t="shared" si="0"/>
        <v>2.9251464637191726</v>
      </c>
      <c r="C19" s="10">
        <f t="shared" si="1"/>
        <v>-6.3745074388139422E-2</v>
      </c>
      <c r="D19" s="11">
        <f t="shared" si="2"/>
        <v>1.7463975574681018E-2</v>
      </c>
    </row>
    <row r="20" spans="1:4" x14ac:dyDescent="0.35">
      <c r="A20" s="14">
        <f t="shared" si="3"/>
        <v>7.5000099999999996</v>
      </c>
      <c r="B20" s="9">
        <f t="shared" si="0"/>
        <v>2.9820036387844504</v>
      </c>
      <c r="C20" s="10">
        <f t="shared" si="1"/>
        <v>-6.7505872014595542E-2</v>
      </c>
      <c r="D20" s="11">
        <f t="shared" si="2"/>
        <v>1.6952770035011229E-2</v>
      </c>
    </row>
    <row r="21" spans="1:4" x14ac:dyDescent="0.35">
      <c r="A21" s="14">
        <f t="shared" si="3"/>
        <v>8.0000099999999996</v>
      </c>
      <c r="B21" s="9">
        <f t="shared" si="0"/>
        <v>3.0309410628801303</v>
      </c>
      <c r="C21" s="10">
        <f t="shared" si="1"/>
        <v>-7.1079970707126183E-2</v>
      </c>
      <c r="D21" s="11">
        <f t="shared" si="2"/>
        <v>1.6462328417680576E-2</v>
      </c>
    </row>
    <row r="22" spans="1:4" x14ac:dyDescent="0.35">
      <c r="A22" s="14">
        <f t="shared" si="3"/>
        <v>8.5000099999999996</v>
      </c>
      <c r="B22" s="9">
        <f t="shared" si="0"/>
        <v>3.0730618941449785</v>
      </c>
      <c r="C22" s="10">
        <f t="shared" si="1"/>
        <v>-7.4486219520667279E-2</v>
      </c>
      <c r="D22" s="11">
        <f t="shared" si="2"/>
        <v>1.5993799701831745E-2</v>
      </c>
    </row>
    <row r="23" spans="1:4" x14ac:dyDescent="0.35">
      <c r="A23" s="14">
        <f t="shared" si="3"/>
        <v>9.0000099999999996</v>
      </c>
      <c r="B23" s="9">
        <f t="shared" si="0"/>
        <v>3.1093156295882869</v>
      </c>
      <c r="C23" s="10">
        <f t="shared" si="1"/>
        <v>-7.7742696851973853E-2</v>
      </c>
      <c r="D23" s="11">
        <f t="shared" si="2"/>
        <v>1.554765044080391E-2</v>
      </c>
    </row>
    <row r="24" spans="1:4" x14ac:dyDescent="0.35">
      <c r="A24" s="14">
        <f t="shared" si="3"/>
        <v>9.5000099999999996</v>
      </c>
      <c r="B24" s="9">
        <f t="shared" si="0"/>
        <v>3.1405195088595463</v>
      </c>
      <c r="C24" s="10">
        <f t="shared" si="1"/>
        <v>-8.0866337038992653E-2</v>
      </c>
      <c r="D24" s="11">
        <f t="shared" si="2"/>
        <v>1.5123850102913953E-2</v>
      </c>
    </row>
    <row r="25" spans="1:4" x14ac:dyDescent="0.35">
      <c r="A25" s="14">
        <v>10</v>
      </c>
      <c r="B25" s="9">
        <f t="shared" si="0"/>
        <v>3.1673764387737871</v>
      </c>
      <c r="C25" s="10">
        <f t="shared" si="1"/>
        <v>-8.3872674520468399E-2</v>
      </c>
      <c r="D25" s="11">
        <f t="shared" si="2"/>
        <v>1.4722020329594413E-2</v>
      </c>
    </row>
    <row r="26" spans="1:4" x14ac:dyDescent="0.35">
      <c r="A26" s="9"/>
      <c r="B26" s="9"/>
      <c r="C26" s="10"/>
      <c r="D26" s="11"/>
    </row>
    <row r="27" spans="1:4" x14ac:dyDescent="0.35">
      <c r="A27" s="9"/>
      <c r="B27" s="9"/>
      <c r="C27" s="10"/>
      <c r="D27" s="11"/>
    </row>
    <row r="28" spans="1:4" x14ac:dyDescent="0.35">
      <c r="A28" s="9"/>
      <c r="B28" s="9"/>
      <c r="C28" s="10"/>
      <c r="D28" s="11"/>
    </row>
    <row r="29" spans="1:4" x14ac:dyDescent="0.35">
      <c r="A29" s="9"/>
      <c r="B29" s="9"/>
      <c r="C29" s="10"/>
      <c r="D29" s="11"/>
    </row>
    <row r="30" spans="1:4" x14ac:dyDescent="0.35">
      <c r="A30" s="9"/>
      <c r="B30" s="9"/>
      <c r="C30" s="10"/>
      <c r="D30" s="11"/>
    </row>
    <row r="31" spans="1:4" x14ac:dyDescent="0.35">
      <c r="A31" s="9"/>
      <c r="B31" s="9"/>
      <c r="C31" s="10"/>
      <c r="D31" s="11"/>
    </row>
    <row r="32" spans="1:4" x14ac:dyDescent="0.35">
      <c r="A32" s="9"/>
      <c r="B32" s="9"/>
      <c r="C32" s="10"/>
      <c r="D32" s="11"/>
    </row>
    <row r="33" spans="1:4" x14ac:dyDescent="0.35">
      <c r="A33" s="9"/>
      <c r="B33" s="9"/>
      <c r="C33" s="10"/>
      <c r="D33" s="11"/>
    </row>
    <row r="34" spans="1:4" x14ac:dyDescent="0.35">
      <c r="A34" s="9"/>
      <c r="B34" s="9"/>
      <c r="C34" s="10"/>
      <c r="D34" s="11"/>
    </row>
    <row r="35" spans="1:4" x14ac:dyDescent="0.35">
      <c r="A35" s="9"/>
      <c r="B35" s="9"/>
      <c r="C35" s="10"/>
      <c r="D35" s="11"/>
    </row>
    <row r="36" spans="1:4" x14ac:dyDescent="0.35">
      <c r="A36" s="9"/>
      <c r="B36" s="9"/>
      <c r="C36" s="10"/>
      <c r="D36" s="11"/>
    </row>
    <row r="37" spans="1:4" x14ac:dyDescent="0.35">
      <c r="A37" s="9"/>
      <c r="B37" s="9"/>
      <c r="C37" s="10"/>
      <c r="D37" s="11"/>
    </row>
    <row r="38" spans="1:4" x14ac:dyDescent="0.35">
      <c r="A38" s="9"/>
      <c r="B38" s="9"/>
      <c r="C38" s="10"/>
      <c r="D38" s="11"/>
    </row>
    <row r="39" spans="1:4" x14ac:dyDescent="0.35">
      <c r="A39" s="9"/>
      <c r="B39" s="9"/>
      <c r="C39" s="10"/>
      <c r="D39" s="11"/>
    </row>
    <row r="40" spans="1:4" x14ac:dyDescent="0.35">
      <c r="A40" s="9"/>
      <c r="B40" s="9"/>
      <c r="C40" s="10"/>
      <c r="D40" s="11"/>
    </row>
    <row r="41" spans="1:4" x14ac:dyDescent="0.35">
      <c r="A41" s="9"/>
      <c r="B41" s="9"/>
      <c r="C41" s="10"/>
      <c r="D41" s="11"/>
    </row>
    <row r="42" spans="1:4" x14ac:dyDescent="0.35">
      <c r="A42" s="9"/>
      <c r="B42" s="9"/>
      <c r="C42" s="10"/>
      <c r="D42" s="11"/>
    </row>
    <row r="43" spans="1:4" x14ac:dyDescent="0.35">
      <c r="A43" s="9"/>
      <c r="B43" s="9"/>
      <c r="C43" s="10"/>
      <c r="D43" s="11"/>
    </row>
    <row r="44" spans="1:4" x14ac:dyDescent="0.35">
      <c r="A44" s="9"/>
      <c r="B44" s="9"/>
      <c r="C44" s="10"/>
      <c r="D44" s="11"/>
    </row>
    <row r="45" spans="1:4" x14ac:dyDescent="0.35">
      <c r="A45" s="9"/>
      <c r="B45" s="9"/>
      <c r="C45" s="10"/>
      <c r="D45" s="11"/>
    </row>
    <row r="46" spans="1:4" x14ac:dyDescent="0.35">
      <c r="A46" s="9"/>
      <c r="B46" s="9"/>
      <c r="C46" s="10"/>
      <c r="D46" s="11"/>
    </row>
    <row r="47" spans="1:4" x14ac:dyDescent="0.35">
      <c r="A47" s="9"/>
      <c r="B47" s="9"/>
      <c r="C47" s="10"/>
      <c r="D47" s="11"/>
    </row>
    <row r="48" spans="1:4" x14ac:dyDescent="0.35">
      <c r="A48" s="9"/>
      <c r="B48" s="9"/>
      <c r="C48" s="10"/>
      <c r="D48" s="11"/>
    </row>
    <row r="49" spans="1:4" x14ac:dyDescent="0.35">
      <c r="A49" s="9"/>
      <c r="B49" s="9"/>
      <c r="C49" s="10"/>
      <c r="D49" s="11"/>
    </row>
    <row r="50" spans="1:4" x14ac:dyDescent="0.35">
      <c r="A50" s="9"/>
      <c r="B50" s="9"/>
      <c r="C50" s="10"/>
      <c r="D50" s="11"/>
    </row>
    <row r="51" spans="1:4" x14ac:dyDescent="0.35">
      <c r="A51" s="9"/>
      <c r="B51" s="9"/>
      <c r="C51" s="10"/>
      <c r="D51" s="11"/>
    </row>
    <row r="52" spans="1:4" x14ac:dyDescent="0.35">
      <c r="A52" s="9"/>
      <c r="B52" s="9"/>
      <c r="C52" s="10"/>
      <c r="D52" s="11"/>
    </row>
    <row r="53" spans="1:4" x14ac:dyDescent="0.35">
      <c r="A53" s="9"/>
      <c r="B53" s="9"/>
      <c r="C53" s="10"/>
      <c r="D53" s="11"/>
    </row>
    <row r="54" spans="1:4" x14ac:dyDescent="0.35">
      <c r="A54" s="9"/>
      <c r="B54" s="9"/>
      <c r="C54" s="10"/>
      <c r="D54" s="11"/>
    </row>
    <row r="55" spans="1:4" x14ac:dyDescent="0.35">
      <c r="A55" s="9"/>
      <c r="B55" s="9"/>
      <c r="C55" s="10"/>
      <c r="D55" s="11"/>
    </row>
    <row r="56" spans="1:4" x14ac:dyDescent="0.35">
      <c r="A56" s="9"/>
      <c r="B56" s="9"/>
      <c r="C56" s="10"/>
      <c r="D56" s="11"/>
    </row>
    <row r="57" spans="1:4" x14ac:dyDescent="0.35">
      <c r="A57" s="9"/>
      <c r="B57" s="9"/>
      <c r="C57" s="10"/>
      <c r="D57" s="11"/>
    </row>
    <row r="58" spans="1:4" x14ac:dyDescent="0.35">
      <c r="A58" s="9"/>
      <c r="B58" s="9"/>
      <c r="C58" s="10"/>
      <c r="D58" s="11"/>
    </row>
    <row r="59" spans="1:4" x14ac:dyDescent="0.35">
      <c r="A59" s="9"/>
      <c r="B59" s="9"/>
      <c r="C59" s="10"/>
      <c r="D59" s="11"/>
    </row>
    <row r="60" spans="1:4" x14ac:dyDescent="0.35">
      <c r="A60" s="9"/>
      <c r="B60" s="9"/>
      <c r="C60" s="10"/>
      <c r="D60" s="11"/>
    </row>
    <row r="61" spans="1:4" x14ac:dyDescent="0.35">
      <c r="A61" s="9"/>
      <c r="B61" s="9"/>
      <c r="C61" s="10"/>
      <c r="D61" s="11"/>
    </row>
    <row r="62" spans="1:4" x14ac:dyDescent="0.35">
      <c r="A62" s="9"/>
      <c r="B62" s="9"/>
      <c r="C62" s="10"/>
      <c r="D62" s="11"/>
    </row>
    <row r="63" spans="1:4" x14ac:dyDescent="0.35">
      <c r="A63" s="9"/>
      <c r="B63" s="9"/>
      <c r="C63" s="10"/>
      <c r="D63" s="11"/>
    </row>
    <row r="64" spans="1:4" x14ac:dyDescent="0.35">
      <c r="A64" s="9"/>
      <c r="B64" s="9"/>
      <c r="C64" s="10"/>
      <c r="D64" s="11"/>
    </row>
    <row r="65" spans="1:4" x14ac:dyDescent="0.35">
      <c r="A65" s="9"/>
      <c r="B65" s="9"/>
      <c r="C65" s="10"/>
      <c r="D65" s="11"/>
    </row>
    <row r="66" spans="1:4" x14ac:dyDescent="0.35">
      <c r="A66" s="9"/>
      <c r="B66" s="9"/>
      <c r="C66" s="10"/>
      <c r="D66" s="11"/>
    </row>
    <row r="67" spans="1:4" x14ac:dyDescent="0.35">
      <c r="A67" s="9"/>
      <c r="B67" s="9"/>
      <c r="C67" s="10"/>
      <c r="D67" s="11"/>
    </row>
    <row r="68" spans="1:4" x14ac:dyDescent="0.35">
      <c r="A68" s="9"/>
      <c r="B68" s="9"/>
      <c r="C68" s="10"/>
      <c r="D68" s="11"/>
    </row>
    <row r="69" spans="1:4" x14ac:dyDescent="0.35">
      <c r="A69" s="9"/>
      <c r="B69" s="9"/>
      <c r="C69" s="10"/>
      <c r="D69" s="11"/>
    </row>
    <row r="70" spans="1:4" x14ac:dyDescent="0.35">
      <c r="A70" s="9"/>
      <c r="B70" s="9"/>
      <c r="C70" s="10"/>
      <c r="D70" s="11"/>
    </row>
    <row r="71" spans="1:4" x14ac:dyDescent="0.35">
      <c r="A71" s="9"/>
      <c r="B71" s="9"/>
      <c r="C71" s="10"/>
      <c r="D71" s="11"/>
    </row>
    <row r="72" spans="1:4" x14ac:dyDescent="0.35">
      <c r="A72" s="9"/>
      <c r="B72" s="9"/>
      <c r="C72" s="10"/>
      <c r="D72" s="11"/>
    </row>
    <row r="73" spans="1:4" x14ac:dyDescent="0.35">
      <c r="A73" s="9"/>
      <c r="B73" s="9"/>
      <c r="C73" s="10"/>
      <c r="D73" s="11"/>
    </row>
    <row r="74" spans="1:4" x14ac:dyDescent="0.35">
      <c r="A74" s="9"/>
      <c r="B74" s="9"/>
      <c r="C74" s="10"/>
      <c r="D74" s="11"/>
    </row>
    <row r="75" spans="1:4" x14ac:dyDescent="0.35">
      <c r="A75" s="9"/>
      <c r="B75" s="9"/>
      <c r="C75" s="10"/>
      <c r="D75" s="11"/>
    </row>
    <row r="76" spans="1:4" x14ac:dyDescent="0.35">
      <c r="A76" s="9"/>
      <c r="B76" s="9"/>
      <c r="C76" s="10"/>
      <c r="D76" s="11"/>
    </row>
    <row r="77" spans="1:4" x14ac:dyDescent="0.35">
      <c r="A77" s="9"/>
      <c r="B77" s="9"/>
      <c r="C77" s="10"/>
      <c r="D77" s="11"/>
    </row>
    <row r="78" spans="1:4" x14ac:dyDescent="0.35">
      <c r="A78" s="9"/>
      <c r="B78" s="9"/>
      <c r="C78" s="10"/>
      <c r="D78" s="11"/>
    </row>
    <row r="79" spans="1:4" x14ac:dyDescent="0.35">
      <c r="A79" s="9"/>
      <c r="B79" s="9"/>
      <c r="C79" s="10"/>
      <c r="D79" s="11"/>
    </row>
    <row r="80" spans="1:4" x14ac:dyDescent="0.35">
      <c r="A80" s="9"/>
      <c r="B80" s="9"/>
      <c r="C80" s="10"/>
      <c r="D80" s="11"/>
    </row>
    <row r="81" spans="1:4" x14ac:dyDescent="0.35">
      <c r="A81" s="9"/>
      <c r="B81" s="9"/>
      <c r="C81" s="10"/>
      <c r="D81" s="11"/>
    </row>
    <row r="82" spans="1:4" x14ac:dyDescent="0.35">
      <c r="A82" s="9"/>
      <c r="B82" s="9"/>
      <c r="C82" s="10"/>
      <c r="D82" s="11"/>
    </row>
    <row r="83" spans="1:4" x14ac:dyDescent="0.35">
      <c r="A83" s="9"/>
      <c r="B83" s="9"/>
      <c r="C83" s="10"/>
      <c r="D83" s="11"/>
    </row>
    <row r="84" spans="1:4" x14ac:dyDescent="0.35">
      <c r="A84" s="9"/>
      <c r="B84" s="9"/>
      <c r="C84" s="10"/>
      <c r="D84" s="11"/>
    </row>
    <row r="85" spans="1:4" x14ac:dyDescent="0.35">
      <c r="A85" s="9"/>
      <c r="B85" s="9"/>
      <c r="C85" s="10"/>
      <c r="D85" s="11"/>
    </row>
    <row r="86" spans="1:4" x14ac:dyDescent="0.35">
      <c r="A86" s="9"/>
      <c r="B86" s="9"/>
      <c r="C86" s="10"/>
      <c r="D86" s="11"/>
    </row>
    <row r="87" spans="1:4" x14ac:dyDescent="0.35">
      <c r="A87" s="9"/>
      <c r="B87" s="9"/>
      <c r="C87" s="10"/>
      <c r="D87" s="11"/>
    </row>
    <row r="88" spans="1:4" x14ac:dyDescent="0.35">
      <c r="A88" s="9"/>
      <c r="B88" s="9"/>
      <c r="C88" s="10"/>
      <c r="D88" s="11"/>
    </row>
    <row r="89" spans="1:4" x14ac:dyDescent="0.35">
      <c r="A89" s="9"/>
      <c r="B89" s="9"/>
      <c r="C89" s="10"/>
      <c r="D89" s="11"/>
    </row>
    <row r="90" spans="1:4" x14ac:dyDescent="0.35">
      <c r="A90" s="9"/>
      <c r="B90" s="9"/>
      <c r="C90" s="10"/>
      <c r="D90" s="11"/>
    </row>
    <row r="91" spans="1:4" x14ac:dyDescent="0.35">
      <c r="A91" s="9"/>
      <c r="B91" s="9"/>
      <c r="C91" s="10"/>
      <c r="D91" s="11"/>
    </row>
    <row r="92" spans="1:4" x14ac:dyDescent="0.35">
      <c r="A92" s="9"/>
      <c r="B92" s="9"/>
      <c r="C92" s="10"/>
      <c r="D92" s="11"/>
    </row>
    <row r="93" spans="1:4" x14ac:dyDescent="0.35">
      <c r="A93" s="9"/>
      <c r="B93" s="9"/>
      <c r="C93" s="10"/>
      <c r="D93" s="11"/>
    </row>
    <row r="94" spans="1:4" x14ac:dyDescent="0.35">
      <c r="A94" s="9"/>
      <c r="B94" s="9"/>
      <c r="C94" s="10"/>
      <c r="D94" s="11"/>
    </row>
    <row r="95" spans="1:4" x14ac:dyDescent="0.35">
      <c r="A95" s="9"/>
      <c r="B95" s="9"/>
      <c r="C95" s="10"/>
      <c r="D95" s="11"/>
    </row>
    <row r="96" spans="1:4" x14ac:dyDescent="0.35">
      <c r="A96" s="9"/>
      <c r="B96" s="9"/>
      <c r="C96" s="10"/>
      <c r="D96" s="11"/>
    </row>
    <row r="97" spans="1:4" x14ac:dyDescent="0.35">
      <c r="A97" s="9"/>
      <c r="B97" s="9"/>
      <c r="C97" s="10"/>
      <c r="D97" s="11"/>
    </row>
    <row r="98" spans="1:4" x14ac:dyDescent="0.35">
      <c r="A98" s="9"/>
      <c r="B98" s="9"/>
      <c r="C98" s="10"/>
      <c r="D98" s="11"/>
    </row>
    <row r="99" spans="1:4" x14ac:dyDescent="0.35">
      <c r="A99" s="9"/>
      <c r="B99" s="9"/>
      <c r="C99" s="10"/>
      <c r="D99" s="11"/>
    </row>
    <row r="100" spans="1:4" x14ac:dyDescent="0.35">
      <c r="A100" s="9"/>
      <c r="B100" s="9"/>
      <c r="C100" s="10"/>
      <c r="D100" s="11"/>
    </row>
    <row r="101" spans="1:4" x14ac:dyDescent="0.35">
      <c r="A101" s="9"/>
      <c r="B101" s="9"/>
      <c r="C101" s="10"/>
      <c r="D101" s="11"/>
    </row>
    <row r="102" spans="1:4" x14ac:dyDescent="0.35">
      <c r="A102" s="9"/>
      <c r="B102" s="9"/>
      <c r="C102" s="10"/>
      <c r="D102" s="11"/>
    </row>
    <row r="103" spans="1:4" x14ac:dyDescent="0.35">
      <c r="A103" s="9"/>
      <c r="B103" s="9"/>
      <c r="C103" s="10"/>
      <c r="D103" s="11"/>
    </row>
    <row r="104" spans="1:4" x14ac:dyDescent="0.35">
      <c r="A104" s="9"/>
      <c r="B104" s="9"/>
      <c r="C104" s="10"/>
      <c r="D104" s="11"/>
    </row>
    <row r="105" spans="1:4" x14ac:dyDescent="0.35">
      <c r="A105" s="9"/>
      <c r="B105" s="9"/>
      <c r="C105" s="10"/>
      <c r="D105" s="11"/>
    </row>
    <row r="106" spans="1:4" x14ac:dyDescent="0.35">
      <c r="A106" s="9"/>
      <c r="B106" s="9"/>
      <c r="C106" s="10"/>
      <c r="D106" s="11"/>
    </row>
    <row r="107" spans="1:4" x14ac:dyDescent="0.35">
      <c r="A107" s="9"/>
      <c r="B107" s="9"/>
      <c r="C107" s="10"/>
      <c r="D107" s="11"/>
    </row>
    <row r="108" spans="1:4" x14ac:dyDescent="0.35">
      <c r="A108" s="9"/>
      <c r="B108" s="9"/>
      <c r="C108" s="10"/>
      <c r="D108" s="11"/>
    </row>
    <row r="109" spans="1:4" x14ac:dyDescent="0.35">
      <c r="A109" s="9"/>
      <c r="B109" s="9"/>
      <c r="C109" s="10"/>
      <c r="D109" s="11"/>
    </row>
    <row r="110" spans="1:4" x14ac:dyDescent="0.35">
      <c r="A110" s="9"/>
      <c r="B110" s="9"/>
      <c r="C110" s="10"/>
      <c r="D110" s="11"/>
    </row>
    <row r="111" spans="1:4" x14ac:dyDescent="0.35">
      <c r="A111" s="9"/>
      <c r="B111" s="9"/>
      <c r="C111" s="10"/>
      <c r="D111" s="11"/>
    </row>
    <row r="112" spans="1:4" x14ac:dyDescent="0.35">
      <c r="A112" s="9"/>
      <c r="B112" s="9"/>
      <c r="C112" s="10"/>
      <c r="D112" s="11"/>
    </row>
    <row r="113" spans="1:4" x14ac:dyDescent="0.35">
      <c r="A113" s="9"/>
      <c r="B113" s="9"/>
      <c r="C113" s="10"/>
      <c r="D113" s="11"/>
    </row>
    <row r="114" spans="1:4" x14ac:dyDescent="0.35">
      <c r="A114" s="9"/>
      <c r="B114" s="9"/>
      <c r="C114" s="10"/>
      <c r="D114" s="11"/>
    </row>
    <row r="115" spans="1:4" x14ac:dyDescent="0.35">
      <c r="A115" s="9"/>
      <c r="B115" s="9"/>
      <c r="C115" s="10"/>
      <c r="D115" s="11"/>
    </row>
    <row r="116" spans="1:4" x14ac:dyDescent="0.35">
      <c r="A116" s="9"/>
      <c r="B116" s="9"/>
      <c r="C116" s="10"/>
      <c r="D116" s="11"/>
    </row>
    <row r="117" spans="1:4" x14ac:dyDescent="0.35">
      <c r="A117" s="9"/>
      <c r="B117" s="9"/>
      <c r="C117" s="10"/>
      <c r="D117" s="11"/>
    </row>
    <row r="118" spans="1:4" x14ac:dyDescent="0.35">
      <c r="A118" s="9"/>
      <c r="B118" s="9"/>
      <c r="C118" s="10"/>
      <c r="D118" s="11"/>
    </row>
    <row r="119" spans="1:4" x14ac:dyDescent="0.35">
      <c r="A119" s="9"/>
      <c r="B119" s="9"/>
      <c r="C119" s="10"/>
      <c r="D119" s="11"/>
    </row>
    <row r="120" spans="1:4" x14ac:dyDescent="0.35">
      <c r="A120" s="9"/>
      <c r="B120" s="9"/>
      <c r="C120" s="10"/>
      <c r="D120" s="11"/>
    </row>
    <row r="121" spans="1:4" x14ac:dyDescent="0.35">
      <c r="A121" s="9"/>
      <c r="B121" s="9"/>
      <c r="C121" s="10"/>
      <c r="D121" s="11"/>
    </row>
    <row r="122" spans="1:4" x14ac:dyDescent="0.35">
      <c r="A122" s="9"/>
      <c r="B122" s="9"/>
      <c r="C122" s="10"/>
      <c r="D122" s="11"/>
    </row>
    <row r="123" spans="1:4" x14ac:dyDescent="0.35">
      <c r="A123" s="9"/>
      <c r="B123" s="9"/>
      <c r="C123" s="10"/>
      <c r="D123" s="11"/>
    </row>
    <row r="124" spans="1:4" x14ac:dyDescent="0.35">
      <c r="A124" s="9"/>
      <c r="B124" s="9"/>
      <c r="C124" s="10"/>
      <c r="D124" s="11"/>
    </row>
    <row r="125" spans="1:4" x14ac:dyDescent="0.35">
      <c r="A125" s="9"/>
      <c r="B125" s="9"/>
      <c r="C125" s="10"/>
      <c r="D125" s="11"/>
    </row>
    <row r="126" spans="1:4" x14ac:dyDescent="0.35">
      <c r="A126" s="9"/>
      <c r="B126" s="9"/>
      <c r="C126" s="10"/>
      <c r="D126" s="11"/>
    </row>
    <row r="127" spans="1:4" x14ac:dyDescent="0.35">
      <c r="A127" s="9"/>
      <c r="B127" s="9"/>
      <c r="C127" s="10"/>
      <c r="D127" s="11"/>
    </row>
    <row r="128" spans="1:4" x14ac:dyDescent="0.35">
      <c r="A128" s="9"/>
      <c r="B128" s="9"/>
      <c r="C128" s="10"/>
      <c r="D128" s="11"/>
    </row>
    <row r="129" spans="1:4" x14ac:dyDescent="0.35">
      <c r="A129" s="9"/>
      <c r="B129" s="9"/>
      <c r="C129" s="10"/>
      <c r="D129" s="11"/>
    </row>
    <row r="130" spans="1:4" x14ac:dyDescent="0.35">
      <c r="A130" s="9"/>
      <c r="B130" s="9"/>
      <c r="C130" s="10"/>
      <c r="D130" s="11"/>
    </row>
    <row r="131" spans="1:4" x14ac:dyDescent="0.35">
      <c r="A131" s="9"/>
      <c r="B131" s="9"/>
      <c r="C131" s="10"/>
      <c r="D131" s="11"/>
    </row>
    <row r="132" spans="1:4" x14ac:dyDescent="0.35">
      <c r="A132" s="9"/>
      <c r="B132" s="9"/>
      <c r="C132" s="10"/>
      <c r="D132" s="11"/>
    </row>
    <row r="133" spans="1:4" x14ac:dyDescent="0.35">
      <c r="A133" s="9"/>
      <c r="B133" s="9"/>
      <c r="C133" s="10"/>
      <c r="D133" s="11"/>
    </row>
    <row r="134" spans="1:4" x14ac:dyDescent="0.35">
      <c r="A134" s="9"/>
      <c r="B134" s="9"/>
      <c r="C134" s="10"/>
      <c r="D134" s="11"/>
    </row>
    <row r="135" spans="1:4" x14ac:dyDescent="0.35">
      <c r="A135" s="9"/>
      <c r="B135" s="9"/>
      <c r="C135" s="10"/>
      <c r="D135" s="11"/>
    </row>
    <row r="136" spans="1:4" x14ac:dyDescent="0.35">
      <c r="A136" s="9"/>
      <c r="B136" s="9"/>
      <c r="C136" s="10"/>
      <c r="D136" s="11"/>
    </row>
    <row r="137" spans="1:4" x14ac:dyDescent="0.35">
      <c r="A137" s="9"/>
      <c r="B137" s="9"/>
      <c r="C137" s="10"/>
      <c r="D137" s="11"/>
    </row>
    <row r="138" spans="1:4" x14ac:dyDescent="0.35">
      <c r="A138" s="9"/>
      <c r="B138" s="9"/>
      <c r="C138" s="10"/>
      <c r="D138" s="11"/>
    </row>
    <row r="139" spans="1:4" x14ac:dyDescent="0.35">
      <c r="A139" s="9"/>
      <c r="B139" s="9"/>
      <c r="C139" s="10"/>
      <c r="D139" s="11"/>
    </row>
    <row r="140" spans="1:4" x14ac:dyDescent="0.35">
      <c r="A140" s="9"/>
      <c r="B140" s="9"/>
      <c r="C140" s="10"/>
      <c r="D140" s="11"/>
    </row>
    <row r="141" spans="1:4" x14ac:dyDescent="0.35">
      <c r="A141" s="9"/>
      <c r="B141" s="9"/>
      <c r="C141" s="10"/>
      <c r="D141" s="11"/>
    </row>
    <row r="142" spans="1:4" x14ac:dyDescent="0.35">
      <c r="A142" s="9"/>
      <c r="B142" s="9"/>
      <c r="C142" s="10"/>
      <c r="D142" s="11"/>
    </row>
    <row r="143" spans="1:4" x14ac:dyDescent="0.35">
      <c r="A143" s="9"/>
      <c r="B143" s="9"/>
      <c r="C143" s="10"/>
      <c r="D143" s="11"/>
    </row>
    <row r="144" spans="1:4" x14ac:dyDescent="0.35">
      <c r="A144" s="9"/>
      <c r="B144" s="9"/>
      <c r="C144" s="10"/>
      <c r="D144" s="11"/>
    </row>
    <row r="145" spans="1:4" x14ac:dyDescent="0.35">
      <c r="A145" s="9"/>
      <c r="B145" s="9"/>
      <c r="C145" s="10"/>
      <c r="D145" s="11"/>
    </row>
    <row r="146" spans="1:4" x14ac:dyDescent="0.35">
      <c r="A146" s="9"/>
      <c r="B146" s="9"/>
      <c r="C146" s="10"/>
      <c r="D146" s="11"/>
    </row>
    <row r="147" spans="1:4" x14ac:dyDescent="0.35">
      <c r="A147" s="9"/>
      <c r="B147" s="9"/>
      <c r="C147" s="10"/>
      <c r="D147" s="11"/>
    </row>
    <row r="148" spans="1:4" x14ac:dyDescent="0.35">
      <c r="A148" s="9"/>
      <c r="B148" s="9"/>
      <c r="C148" s="10"/>
      <c r="D148" s="11"/>
    </row>
    <row r="149" spans="1:4" x14ac:dyDescent="0.35">
      <c r="A149" s="9"/>
      <c r="B149" s="9"/>
      <c r="C149" s="10"/>
      <c r="D149" s="11"/>
    </row>
    <row r="150" spans="1:4" x14ac:dyDescent="0.35">
      <c r="A150" s="9"/>
      <c r="B150" s="9"/>
      <c r="C150" s="10"/>
      <c r="D150" s="11"/>
    </row>
    <row r="151" spans="1:4" x14ac:dyDescent="0.35">
      <c r="A151" s="9"/>
      <c r="B151" s="9"/>
      <c r="C151" s="10"/>
      <c r="D151" s="11"/>
    </row>
    <row r="152" spans="1:4" x14ac:dyDescent="0.35">
      <c r="A152" s="9"/>
      <c r="B152" s="9"/>
      <c r="C152" s="10"/>
      <c r="D152" s="11"/>
    </row>
    <row r="153" spans="1:4" x14ac:dyDescent="0.35">
      <c r="A153" s="9"/>
      <c r="B153" s="9"/>
      <c r="C153" s="10"/>
      <c r="D153" s="11"/>
    </row>
    <row r="154" spans="1:4" x14ac:dyDescent="0.35">
      <c r="A154" s="9"/>
      <c r="B154" s="9"/>
      <c r="C154" s="10"/>
      <c r="D154" s="11"/>
    </row>
    <row r="155" spans="1:4" x14ac:dyDescent="0.35">
      <c r="A155" s="9"/>
      <c r="B155" s="9"/>
      <c r="C155" s="10"/>
      <c r="D155" s="11"/>
    </row>
    <row r="156" spans="1:4" x14ac:dyDescent="0.35">
      <c r="A156" s="9"/>
      <c r="B156" s="9"/>
      <c r="C156" s="10"/>
      <c r="D156" s="11"/>
    </row>
    <row r="157" spans="1:4" x14ac:dyDescent="0.35">
      <c r="A157" s="9"/>
      <c r="B157" s="9"/>
      <c r="C157" s="10"/>
      <c r="D157" s="11"/>
    </row>
    <row r="158" spans="1:4" x14ac:dyDescent="0.35">
      <c r="A158" s="9"/>
      <c r="B158" s="9"/>
      <c r="C158" s="10"/>
      <c r="D158" s="11"/>
    </row>
    <row r="159" spans="1:4" x14ac:dyDescent="0.35">
      <c r="A159" s="9"/>
      <c r="B159" s="9"/>
      <c r="C159" s="10"/>
      <c r="D159" s="11"/>
    </row>
    <row r="160" spans="1:4" x14ac:dyDescent="0.35">
      <c r="A160" s="9"/>
      <c r="B160" s="9"/>
      <c r="C160" s="10"/>
      <c r="D160" s="11"/>
    </row>
    <row r="161" spans="1:4" x14ac:dyDescent="0.35">
      <c r="A161" s="9"/>
      <c r="B161" s="9"/>
      <c r="C161" s="10"/>
      <c r="D161" s="11"/>
    </row>
    <row r="162" spans="1:4" x14ac:dyDescent="0.35">
      <c r="A162" s="9"/>
      <c r="B162" s="9"/>
      <c r="C162" s="10"/>
      <c r="D162" s="11"/>
    </row>
    <row r="163" spans="1:4" x14ac:dyDescent="0.35">
      <c r="A163" s="9"/>
      <c r="B163" s="9"/>
      <c r="C163" s="10"/>
      <c r="D163" s="11"/>
    </row>
    <row r="164" spans="1:4" x14ac:dyDescent="0.35">
      <c r="A164" s="9"/>
      <c r="B164" s="9"/>
      <c r="C164" s="10"/>
      <c r="D164" s="11"/>
    </row>
    <row r="165" spans="1:4" x14ac:dyDescent="0.35">
      <c r="A165" s="9"/>
      <c r="B165" s="9"/>
      <c r="C165" s="10"/>
      <c r="D165" s="11"/>
    </row>
    <row r="166" spans="1:4" x14ac:dyDescent="0.35">
      <c r="A166" s="9"/>
      <c r="B166" s="9"/>
      <c r="C166" s="10"/>
      <c r="D166" s="11"/>
    </row>
    <row r="167" spans="1:4" x14ac:dyDescent="0.35">
      <c r="A167" s="9"/>
      <c r="B167" s="9"/>
      <c r="C167" s="10"/>
      <c r="D167" s="11"/>
    </row>
    <row r="168" spans="1:4" x14ac:dyDescent="0.35">
      <c r="A168" s="9"/>
      <c r="B168" s="9"/>
      <c r="C168" s="10"/>
      <c r="D168" s="11"/>
    </row>
    <row r="169" spans="1:4" x14ac:dyDescent="0.35">
      <c r="A169" s="9"/>
      <c r="B169" s="9"/>
      <c r="C169" s="10"/>
      <c r="D169" s="11"/>
    </row>
    <row r="170" spans="1:4" x14ac:dyDescent="0.35">
      <c r="A170" s="9"/>
      <c r="B170" s="9"/>
      <c r="C170" s="10"/>
      <c r="D170" s="11"/>
    </row>
    <row r="171" spans="1:4" x14ac:dyDescent="0.35">
      <c r="A171" s="9"/>
      <c r="B171" s="9"/>
      <c r="C171" s="10"/>
      <c r="D171" s="11"/>
    </row>
    <row r="172" spans="1:4" x14ac:dyDescent="0.35">
      <c r="A172" s="9"/>
      <c r="B172" s="9"/>
      <c r="C172" s="10"/>
      <c r="D172" s="11"/>
    </row>
    <row r="173" spans="1:4" x14ac:dyDescent="0.35">
      <c r="A173" s="9"/>
      <c r="B173" s="9"/>
      <c r="C173" s="10"/>
      <c r="D173" s="11"/>
    </row>
    <row r="174" spans="1:4" x14ac:dyDescent="0.35">
      <c r="A174" s="9"/>
      <c r="B174" s="9"/>
      <c r="C174" s="10"/>
      <c r="D174" s="11"/>
    </row>
    <row r="175" spans="1:4" x14ac:dyDescent="0.35">
      <c r="A175" s="9"/>
      <c r="B175" s="9"/>
      <c r="C175" s="10"/>
      <c r="D175" s="11"/>
    </row>
    <row r="176" spans="1:4" x14ac:dyDescent="0.35">
      <c r="A176" s="9"/>
      <c r="B176" s="9"/>
      <c r="C176" s="10"/>
      <c r="D176" s="11"/>
    </row>
    <row r="177" spans="1:4" x14ac:dyDescent="0.35">
      <c r="A177" s="9"/>
      <c r="B177" s="9"/>
      <c r="C177" s="10"/>
      <c r="D177" s="11"/>
    </row>
    <row r="178" spans="1:4" x14ac:dyDescent="0.35">
      <c r="A178" s="9"/>
      <c r="B178" s="9"/>
      <c r="C178" s="10"/>
      <c r="D178" s="11"/>
    </row>
    <row r="179" spans="1:4" x14ac:dyDescent="0.35">
      <c r="A179" s="9"/>
      <c r="B179" s="9"/>
      <c r="C179" s="10"/>
      <c r="D179" s="11"/>
    </row>
    <row r="180" spans="1:4" x14ac:dyDescent="0.35">
      <c r="A180" s="9"/>
      <c r="B180" s="9"/>
      <c r="C180" s="10"/>
      <c r="D180" s="11"/>
    </row>
    <row r="181" spans="1:4" x14ac:dyDescent="0.35">
      <c r="A181" s="9"/>
      <c r="B181" s="9"/>
      <c r="C181" s="10"/>
      <c r="D181" s="11"/>
    </row>
    <row r="182" spans="1:4" x14ac:dyDescent="0.35">
      <c r="A182" s="9"/>
      <c r="B182" s="9"/>
      <c r="C182" s="10"/>
      <c r="D182" s="11"/>
    </row>
    <row r="183" spans="1:4" x14ac:dyDescent="0.35">
      <c r="A183" s="9"/>
      <c r="B183" s="9"/>
      <c r="C183" s="10"/>
      <c r="D183" s="11"/>
    </row>
    <row r="184" spans="1:4" x14ac:dyDescent="0.35">
      <c r="A184" s="9"/>
      <c r="B184" s="9"/>
      <c r="C184" s="10"/>
      <c r="D184" s="11"/>
    </row>
    <row r="185" spans="1:4" x14ac:dyDescent="0.35">
      <c r="A185" s="9"/>
      <c r="B185" s="9"/>
      <c r="C185" s="10"/>
      <c r="D185" s="11"/>
    </row>
    <row r="186" spans="1:4" x14ac:dyDescent="0.35">
      <c r="A186" s="9"/>
      <c r="B186" s="9"/>
      <c r="C186" s="10"/>
      <c r="D186" s="11"/>
    </row>
    <row r="187" spans="1:4" x14ac:dyDescent="0.35">
      <c r="A187" s="9"/>
      <c r="B187" s="9"/>
      <c r="C187" s="10"/>
      <c r="D187" s="11"/>
    </row>
    <row r="188" spans="1:4" x14ac:dyDescent="0.35">
      <c r="A188" s="9"/>
      <c r="B188" s="9"/>
      <c r="C188" s="10"/>
      <c r="D188" s="11"/>
    </row>
    <row r="189" spans="1:4" x14ac:dyDescent="0.35">
      <c r="A189" s="9"/>
      <c r="B189" s="9"/>
      <c r="C189" s="10"/>
      <c r="D189" s="11"/>
    </row>
    <row r="190" spans="1:4" x14ac:dyDescent="0.35">
      <c r="A190" s="9"/>
      <c r="B190" s="9"/>
      <c r="C190" s="10"/>
      <c r="D190" s="11"/>
    </row>
    <row r="191" spans="1:4" x14ac:dyDescent="0.35">
      <c r="A191" s="9"/>
      <c r="B191" s="9"/>
      <c r="C191" s="10"/>
      <c r="D191" s="11"/>
    </row>
    <row r="192" spans="1:4" x14ac:dyDescent="0.35">
      <c r="A192" s="9"/>
      <c r="B192" s="9"/>
      <c r="C192" s="10"/>
      <c r="D192" s="11"/>
    </row>
    <row r="193" spans="1:4" x14ac:dyDescent="0.35">
      <c r="A193" s="9"/>
      <c r="B193" s="9"/>
      <c r="C193" s="10"/>
      <c r="D193" s="11"/>
    </row>
    <row r="194" spans="1:4" x14ac:dyDescent="0.35">
      <c r="A194" s="9"/>
      <c r="B194" s="9"/>
      <c r="C194" s="10"/>
      <c r="D194" s="11"/>
    </row>
    <row r="195" spans="1:4" x14ac:dyDescent="0.35">
      <c r="A195" s="9"/>
      <c r="B195" s="9"/>
      <c r="C195" s="10"/>
      <c r="D195" s="11"/>
    </row>
    <row r="196" spans="1:4" x14ac:dyDescent="0.35">
      <c r="A196" s="9"/>
      <c r="B196" s="9"/>
      <c r="C196" s="10"/>
      <c r="D196" s="11"/>
    </row>
    <row r="197" spans="1:4" x14ac:dyDescent="0.35">
      <c r="A197" s="9"/>
      <c r="B197" s="9"/>
      <c r="C197" s="10"/>
      <c r="D197" s="11"/>
    </row>
    <row r="198" spans="1:4" x14ac:dyDescent="0.35">
      <c r="A198" s="9"/>
      <c r="B198" s="9"/>
      <c r="C198" s="10"/>
      <c r="D198" s="11"/>
    </row>
    <row r="199" spans="1:4" x14ac:dyDescent="0.35">
      <c r="A199" s="9"/>
      <c r="B199" s="9"/>
      <c r="C199" s="10"/>
      <c r="D199" s="11"/>
    </row>
    <row r="200" spans="1:4" x14ac:dyDescent="0.35">
      <c r="A200" s="9"/>
      <c r="B200" s="9"/>
      <c r="C200" s="10"/>
      <c r="D200" s="11"/>
    </row>
    <row r="201" spans="1:4" x14ac:dyDescent="0.35">
      <c r="A201" s="9"/>
      <c r="B201" s="9"/>
      <c r="C201" s="10"/>
      <c r="D201" s="11"/>
    </row>
    <row r="202" spans="1:4" x14ac:dyDescent="0.35">
      <c r="A202" s="9"/>
      <c r="B202" s="9"/>
      <c r="C202" s="10"/>
      <c r="D202" s="11"/>
    </row>
    <row r="203" spans="1:4" x14ac:dyDescent="0.35">
      <c r="A203" s="9"/>
      <c r="B203" s="9"/>
      <c r="C203" s="10"/>
      <c r="D203" s="11"/>
    </row>
    <row r="204" spans="1:4" x14ac:dyDescent="0.35">
      <c r="A204" s="9"/>
      <c r="B204" s="9"/>
      <c r="C204" s="10"/>
      <c r="D204" s="11"/>
    </row>
    <row r="205" spans="1:4" x14ac:dyDescent="0.35">
      <c r="A205" s="9"/>
      <c r="B205" s="9"/>
      <c r="C205" s="10"/>
      <c r="D205" s="11"/>
    </row>
  </sheetData>
  <phoneticPr fontId="3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05"/>
  <sheetViews>
    <sheetView zoomScaleNormal="100" workbookViewId="0">
      <selection activeCell="G25" sqref="G25"/>
    </sheetView>
  </sheetViews>
  <sheetFormatPr defaultColWidth="9" defaultRowHeight="14" x14ac:dyDescent="0.35"/>
  <cols>
    <col min="1" max="1" width="8.1796875" style="7" bestFit="1" customWidth="1"/>
    <col min="2" max="2" width="6.1796875" style="7" bestFit="1" customWidth="1"/>
    <col min="3" max="3" width="8.54296875" style="7" bestFit="1" customWidth="1"/>
    <col min="4" max="4" width="6.1796875" style="7" bestFit="1" customWidth="1"/>
    <col min="5" max="7" width="9" style="2"/>
    <col min="8" max="9" width="12.54296875" style="2" customWidth="1"/>
    <col min="10" max="11" width="9" style="2"/>
    <col min="12" max="12" width="10.7265625" style="2" customWidth="1"/>
    <col min="13" max="16384" width="9" style="2"/>
  </cols>
  <sheetData>
    <row r="1" spans="1:14" ht="16" x14ac:dyDescent="0.45">
      <c r="A1" s="364" t="s">
        <v>3</v>
      </c>
      <c r="B1" s="365">
        <v>2.5000000000000001E-2</v>
      </c>
      <c r="C1" s="364" t="s">
        <v>5</v>
      </c>
      <c r="D1" s="365">
        <v>0.04</v>
      </c>
    </row>
    <row r="2" spans="1:14" x14ac:dyDescent="0.35">
      <c r="A2" s="364" t="s">
        <v>4</v>
      </c>
      <c r="B2" s="366">
        <v>0.3</v>
      </c>
      <c r="C2" s="364" t="s">
        <v>0</v>
      </c>
      <c r="D2" s="365">
        <v>0.08</v>
      </c>
      <c r="E2" s="4" t="s">
        <v>6</v>
      </c>
      <c r="F2" s="13">
        <f>B2^2</f>
        <v>0.09</v>
      </c>
      <c r="G2" s="4" t="s">
        <v>1</v>
      </c>
      <c r="H2" s="8">
        <f>D2^2</f>
        <v>6.4000000000000003E-3</v>
      </c>
    </row>
    <row r="4" spans="1:14" x14ac:dyDescent="0.35">
      <c r="A4" s="12" t="s">
        <v>2</v>
      </c>
      <c r="B4" s="12" t="s">
        <v>423</v>
      </c>
      <c r="C4" s="12" t="s">
        <v>424</v>
      </c>
      <c r="D4" s="12" t="s">
        <v>425</v>
      </c>
      <c r="G4" s="1"/>
    </row>
    <row r="5" spans="1:14" x14ac:dyDescent="0.35">
      <c r="A5" s="14">
        <v>1.0000000000000001E-5</v>
      </c>
      <c r="B5" s="9">
        <f t="shared" ref="B5:B25" si="0">(1-EXP(-B$2*A5))/B$2</f>
        <v>9.9999850000642709E-6</v>
      </c>
      <c r="C5" s="10">
        <f t="shared" ref="C5:C25" si="1">($H$2/(2*$F$2))*(A5-B5)-($H$2*B5^2)/(4*$B$2) +$D$1*(B5-A5)</f>
        <v>-5.9999811436309275E-13</v>
      </c>
      <c r="D5" s="11">
        <f>-C5/A5+$B$1*B5/A5</f>
        <v>2.5000022499972109E-2</v>
      </c>
    </row>
    <row r="6" spans="1:14" x14ac:dyDescent="0.35">
      <c r="A6" s="14">
        <f>A5+0.5</f>
        <v>0.50000999999999995</v>
      </c>
      <c r="B6" s="9">
        <f t="shared" si="0"/>
        <v>0.46431535231666099</v>
      </c>
      <c r="C6" s="10">
        <f t="shared" si="1"/>
        <v>-1.3084495260429912E-3</v>
      </c>
      <c r="D6" s="11">
        <f t="shared" ref="D6:D25" si="2">-C6/A6+$B$1*B6/A6</f>
        <v>2.5832150024918538E-2</v>
      </c>
    </row>
    <row r="7" spans="1:14" x14ac:dyDescent="0.35">
      <c r="A7" s="14">
        <f t="shared" ref="A7:A24" si="3">A6+0.5</f>
        <v>1.0000100000000001</v>
      </c>
      <c r="B7" s="9">
        <f t="shared" si="0"/>
        <v>0.8639466725653685</v>
      </c>
      <c r="C7" s="10">
        <f t="shared" si="1"/>
        <v>-4.5855464492389241E-3</v>
      </c>
      <c r="D7" s="11">
        <f t="shared" si="2"/>
        <v>2.6183951423858896E-2</v>
      </c>
    </row>
    <row r="8" spans="1:14" x14ac:dyDescent="0.35">
      <c r="A8" s="14">
        <f t="shared" si="3"/>
        <v>1.5000100000000001</v>
      </c>
      <c r="B8" s="9">
        <f t="shared" si="0"/>
        <v>1.2079125375327076</v>
      </c>
      <c r="C8" s="10">
        <f t="shared" si="1"/>
        <v>-9.0798253353855038E-3</v>
      </c>
      <c r="D8" s="11">
        <f t="shared" si="2"/>
        <v>2.6184917949682463E-2</v>
      </c>
      <c r="G8" s="1"/>
      <c r="H8" s="1"/>
      <c r="I8" s="1"/>
    </row>
    <row r="9" spans="1:14" x14ac:dyDescent="0.35">
      <c r="A9" s="14">
        <f t="shared" si="3"/>
        <v>2.0000100000000001</v>
      </c>
      <c r="B9" s="9">
        <f t="shared" si="0"/>
        <v>1.5039667011280409</v>
      </c>
      <c r="C9" s="10">
        <f t="shared" si="1"/>
        <v>-1.4268188020419173E-2</v>
      </c>
      <c r="D9" s="11">
        <f t="shared" si="2"/>
        <v>2.5933548106569566E-2</v>
      </c>
      <c r="H9" s="3"/>
      <c r="I9" s="3"/>
      <c r="K9" s="4"/>
      <c r="L9" s="5"/>
      <c r="M9" s="4"/>
      <c r="N9" s="6"/>
    </row>
    <row r="10" spans="1:14" x14ac:dyDescent="0.35">
      <c r="A10" s="14">
        <f t="shared" si="3"/>
        <v>2.5000100000000001</v>
      </c>
      <c r="B10" s="9">
        <f t="shared" si="0"/>
        <v>1.758782881188393</v>
      </c>
      <c r="C10" s="10">
        <f t="shared" si="1"/>
        <v>-1.9792034607134319E-2</v>
      </c>
      <c r="D10" s="11">
        <f t="shared" si="2"/>
        <v>2.5504540636575111E-2</v>
      </c>
    </row>
    <row r="11" spans="1:14" x14ac:dyDescent="0.35">
      <c r="A11" s="14">
        <f t="shared" si="3"/>
        <v>3.0000100000000001</v>
      </c>
      <c r="B11" s="9">
        <f t="shared" si="0"/>
        <v>1.9781051998885018</v>
      </c>
      <c r="C11" s="10">
        <f t="shared" si="1"/>
        <v>-2.541060008134495E-2</v>
      </c>
      <c r="D11" s="11">
        <f t="shared" si="2"/>
        <v>2.4954326845096346E-2</v>
      </c>
    </row>
    <row r="12" spans="1:14" x14ac:dyDescent="0.35">
      <c r="A12" s="14">
        <f t="shared" si="3"/>
        <v>3.5000100000000001</v>
      </c>
      <c r="B12" s="9">
        <f t="shared" si="0"/>
        <v>2.1668776690017242</v>
      </c>
      <c r="C12" s="10">
        <f t="shared" si="1"/>
        <v>-3.0966946355112403E-2</v>
      </c>
      <c r="D12" s="11">
        <f t="shared" si="2"/>
        <v>2.4325327093395594E-2</v>
      </c>
    </row>
    <row r="13" spans="1:14" x14ac:dyDescent="0.35">
      <c r="A13" s="14">
        <f t="shared" si="3"/>
        <v>4.0000099999999996</v>
      </c>
      <c r="B13" s="9">
        <f t="shared" si="0"/>
        <v>2.3293556388969279</v>
      </c>
      <c r="C13" s="10">
        <f t="shared" si="1"/>
        <v>-3.6363251520249641E-2</v>
      </c>
      <c r="D13" s="11">
        <f t="shared" si="2"/>
        <v>2.3649226500101962E-2</v>
      </c>
    </row>
    <row r="14" spans="1:14" x14ac:dyDescent="0.35">
      <c r="A14" s="14">
        <f t="shared" si="3"/>
        <v>4.5000099999999996</v>
      </c>
      <c r="B14" s="9">
        <f t="shared" si="0"/>
        <v>2.4692017235790793</v>
      </c>
      <c r="C14" s="10">
        <f t="shared" si="1"/>
        <v>-4.1542919371075543E-2</v>
      </c>
      <c r="D14" s="11">
        <f t="shared" si="2"/>
        <v>2.2949496214575642E-2</v>
      </c>
    </row>
    <row r="15" spans="1:14" x14ac:dyDescent="0.35">
      <c r="A15" s="14">
        <f t="shared" si="3"/>
        <v>5.0000099999999996</v>
      </c>
      <c r="B15" s="9">
        <f t="shared" si="0"/>
        <v>2.5895683641368219</v>
      </c>
      <c r="C15" s="10">
        <f t="shared" si="1"/>
        <v>-4.6477683604040379E-2</v>
      </c>
      <c r="D15" s="11">
        <f t="shared" si="2"/>
        <v>2.2243334054824079E-2</v>
      </c>
    </row>
    <row r="16" spans="1:14" x14ac:dyDescent="0.35">
      <c r="A16" s="14">
        <f t="shared" si="3"/>
        <v>5.5000099999999996</v>
      </c>
      <c r="B16" s="9">
        <f t="shared" si="0"/>
        <v>2.6931688917603585</v>
      </c>
      <c r="C16" s="10">
        <f t="shared" si="1"/>
        <v>-5.1158362327531112E-2</v>
      </c>
      <c r="D16" s="11">
        <f t="shared" si="2"/>
        <v>2.1543158034538136E-2</v>
      </c>
    </row>
    <row r="17" spans="1:4" x14ac:dyDescent="0.35">
      <c r="A17" s="14">
        <f t="shared" si="3"/>
        <v>6.0000099999999996</v>
      </c>
      <c r="B17" s="9">
        <f t="shared" si="0"/>
        <v>2.7823386922477806</v>
      </c>
      <c r="C17" s="10">
        <f t="shared" si="1"/>
        <v>-5.5588273892476142E-2</v>
      </c>
      <c r="D17" s="11">
        <f t="shared" si="2"/>
        <v>2.0857755436852716E-2</v>
      </c>
    </row>
    <row r="18" spans="1:4" x14ac:dyDescent="0.35">
      <c r="A18" s="14">
        <f t="shared" si="3"/>
        <v>6.5000099999999996</v>
      </c>
      <c r="B18" s="9">
        <f t="shared" si="0"/>
        <v>2.8590878507835367</v>
      </c>
      <c r="C18" s="10">
        <f t="shared" si="1"/>
        <v>-5.977858735739594E-2</v>
      </c>
      <c r="D18" s="11">
        <f t="shared" si="2"/>
        <v>2.0193166414664648E-2</v>
      </c>
    </row>
    <row r="19" spans="1:4" x14ac:dyDescent="0.35">
      <c r="A19" s="14">
        <f t="shared" si="3"/>
        <v>7.0000099999999996</v>
      </c>
      <c r="B19" s="9">
        <f t="shared" si="0"/>
        <v>2.9251464637191726</v>
      </c>
      <c r="C19" s="10">
        <f t="shared" si="1"/>
        <v>-6.3745074388139422E-2</v>
      </c>
      <c r="D19" s="11">
        <f t="shared" si="2"/>
        <v>1.9553362921069933E-2</v>
      </c>
    </row>
    <row r="20" spans="1:4" x14ac:dyDescent="0.35">
      <c r="A20" s="14">
        <f t="shared" si="3"/>
        <v>7.5000099999999996</v>
      </c>
      <c r="B20" s="9">
        <f t="shared" si="0"/>
        <v>2.9820036387844504</v>
      </c>
      <c r="C20" s="10">
        <f t="shared" si="1"/>
        <v>-6.7505872014595542E-2</v>
      </c>
      <c r="D20" s="11">
        <f t="shared" si="2"/>
        <v>1.8940769810201159E-2</v>
      </c>
    </row>
    <row r="21" spans="1:4" x14ac:dyDescent="0.35">
      <c r="A21" s="14">
        <f t="shared" si="3"/>
        <v>8.0000099999999996</v>
      </c>
      <c r="B21" s="9">
        <f t="shared" si="0"/>
        <v>3.0309410628801303</v>
      </c>
      <c r="C21" s="10">
        <f t="shared" si="1"/>
        <v>-7.1079970707126183E-2</v>
      </c>
      <c r="D21" s="11">
        <f t="shared" si="2"/>
        <v>1.8356664214060913E-2</v>
      </c>
    </row>
    <row r="22" spans="1:4" x14ac:dyDescent="0.35">
      <c r="A22" s="14">
        <f t="shared" si="3"/>
        <v>8.5000099999999996</v>
      </c>
      <c r="B22" s="9">
        <f t="shared" si="0"/>
        <v>3.0730618941449785</v>
      </c>
      <c r="C22" s="10">
        <f t="shared" si="1"/>
        <v>-7.4486219520667279E-2</v>
      </c>
      <c r="D22" s="11">
        <f t="shared" si="2"/>
        <v>1.7801481042291921E-2</v>
      </c>
    </row>
    <row r="23" spans="1:4" x14ac:dyDescent="0.35">
      <c r="A23" s="14">
        <f t="shared" si="3"/>
        <v>9.0000099999999996</v>
      </c>
      <c r="B23" s="9">
        <f t="shared" si="0"/>
        <v>3.1093156295882869</v>
      </c>
      <c r="C23" s="10">
        <f t="shared" si="1"/>
        <v>-7.7742696851973853E-2</v>
      </c>
      <c r="D23" s="11">
        <f t="shared" si="2"/>
        <v>1.7275046093468902E-2</v>
      </c>
    </row>
    <row r="24" spans="1:4" x14ac:dyDescent="0.35">
      <c r="A24" s="14">
        <f t="shared" si="3"/>
        <v>9.5000099999999996</v>
      </c>
      <c r="B24" s="9">
        <f t="shared" si="0"/>
        <v>3.1405195088595463</v>
      </c>
      <c r="C24" s="10">
        <f t="shared" si="1"/>
        <v>-8.0866337038992653E-2</v>
      </c>
      <c r="D24" s="11">
        <f t="shared" si="2"/>
        <v>1.6776753367678698E-2</v>
      </c>
    </row>
    <row r="25" spans="1:4" x14ac:dyDescent="0.35">
      <c r="A25" s="14">
        <v>10</v>
      </c>
      <c r="B25" s="9">
        <f t="shared" si="0"/>
        <v>3.1673764387737871</v>
      </c>
      <c r="C25" s="10">
        <f t="shared" si="1"/>
        <v>-8.3872674520468399E-2</v>
      </c>
      <c r="D25" s="11">
        <f t="shared" si="2"/>
        <v>1.6305708548981307E-2</v>
      </c>
    </row>
    <row r="26" spans="1:4" x14ac:dyDescent="0.35">
      <c r="A26" s="9"/>
      <c r="B26" s="9"/>
      <c r="C26" s="10"/>
      <c r="D26" s="11"/>
    </row>
    <row r="27" spans="1:4" x14ac:dyDescent="0.35">
      <c r="A27" s="9"/>
      <c r="B27" s="9"/>
      <c r="C27" s="10"/>
      <c r="D27" s="11"/>
    </row>
    <row r="28" spans="1:4" x14ac:dyDescent="0.35">
      <c r="A28" s="9"/>
      <c r="B28" s="9"/>
      <c r="C28" s="10"/>
      <c r="D28" s="11"/>
    </row>
    <row r="29" spans="1:4" x14ac:dyDescent="0.35">
      <c r="A29" s="9"/>
      <c r="B29" s="9"/>
      <c r="C29" s="10"/>
      <c r="D29" s="11"/>
    </row>
    <row r="30" spans="1:4" x14ac:dyDescent="0.35">
      <c r="A30" s="9"/>
      <c r="B30" s="9"/>
      <c r="C30" s="10"/>
      <c r="D30" s="11"/>
    </row>
    <row r="31" spans="1:4" x14ac:dyDescent="0.35">
      <c r="A31" s="9"/>
      <c r="B31" s="9"/>
      <c r="C31" s="10"/>
      <c r="D31" s="11"/>
    </row>
    <row r="32" spans="1:4" x14ac:dyDescent="0.35">
      <c r="A32" s="9"/>
      <c r="B32" s="9"/>
      <c r="C32" s="10"/>
      <c r="D32" s="11"/>
    </row>
    <row r="33" spans="1:4" x14ac:dyDescent="0.35">
      <c r="A33" s="9"/>
      <c r="B33" s="9"/>
      <c r="C33" s="10"/>
      <c r="D33" s="11"/>
    </row>
    <row r="34" spans="1:4" x14ac:dyDescent="0.35">
      <c r="A34" s="9"/>
      <c r="B34" s="9"/>
      <c r="C34" s="10"/>
      <c r="D34" s="11"/>
    </row>
    <row r="35" spans="1:4" x14ac:dyDescent="0.35">
      <c r="A35" s="9"/>
      <c r="B35" s="9"/>
      <c r="C35" s="10"/>
      <c r="D35" s="11"/>
    </row>
    <row r="36" spans="1:4" x14ac:dyDescent="0.35">
      <c r="A36" s="9"/>
      <c r="B36" s="9"/>
      <c r="C36" s="10"/>
      <c r="D36" s="11"/>
    </row>
    <row r="37" spans="1:4" x14ac:dyDescent="0.35">
      <c r="A37" s="9"/>
      <c r="B37" s="9"/>
      <c r="C37" s="10"/>
      <c r="D37" s="11"/>
    </row>
    <row r="38" spans="1:4" x14ac:dyDescent="0.35">
      <c r="A38" s="9"/>
      <c r="B38" s="9"/>
      <c r="C38" s="10"/>
      <c r="D38" s="11"/>
    </row>
    <row r="39" spans="1:4" x14ac:dyDescent="0.35">
      <c r="A39" s="9"/>
      <c r="B39" s="9"/>
      <c r="C39" s="10"/>
      <c r="D39" s="11"/>
    </row>
    <row r="40" spans="1:4" x14ac:dyDescent="0.35">
      <c r="A40" s="9"/>
      <c r="B40" s="9"/>
      <c r="C40" s="10"/>
      <c r="D40" s="11"/>
    </row>
    <row r="41" spans="1:4" x14ac:dyDescent="0.35">
      <c r="A41" s="9"/>
      <c r="B41" s="9"/>
      <c r="C41" s="10"/>
      <c r="D41" s="11"/>
    </row>
    <row r="42" spans="1:4" x14ac:dyDescent="0.35">
      <c r="A42" s="9"/>
      <c r="B42" s="9"/>
      <c r="C42" s="10"/>
      <c r="D42" s="11"/>
    </row>
    <row r="43" spans="1:4" x14ac:dyDescent="0.35">
      <c r="A43" s="9"/>
      <c r="B43" s="9"/>
      <c r="C43" s="10"/>
      <c r="D43" s="11"/>
    </row>
    <row r="44" spans="1:4" x14ac:dyDescent="0.35">
      <c r="A44" s="9"/>
      <c r="B44" s="9"/>
      <c r="C44" s="10"/>
      <c r="D44" s="11"/>
    </row>
    <row r="45" spans="1:4" x14ac:dyDescent="0.35">
      <c r="A45" s="9"/>
      <c r="B45" s="9"/>
      <c r="C45" s="10"/>
      <c r="D45" s="11"/>
    </row>
    <row r="46" spans="1:4" x14ac:dyDescent="0.35">
      <c r="A46" s="9"/>
      <c r="B46" s="9"/>
      <c r="C46" s="10"/>
      <c r="D46" s="11"/>
    </row>
    <row r="47" spans="1:4" x14ac:dyDescent="0.35">
      <c r="A47" s="9"/>
      <c r="B47" s="9"/>
      <c r="C47" s="10"/>
      <c r="D47" s="11"/>
    </row>
    <row r="48" spans="1:4" x14ac:dyDescent="0.35">
      <c r="A48" s="9"/>
      <c r="B48" s="9"/>
      <c r="C48" s="10"/>
      <c r="D48" s="11"/>
    </row>
    <row r="49" spans="1:4" x14ac:dyDescent="0.35">
      <c r="A49" s="9"/>
      <c r="B49" s="9"/>
      <c r="C49" s="10"/>
      <c r="D49" s="11"/>
    </row>
    <row r="50" spans="1:4" x14ac:dyDescent="0.35">
      <c r="A50" s="9"/>
      <c r="B50" s="9"/>
      <c r="C50" s="10"/>
      <c r="D50" s="11"/>
    </row>
    <row r="51" spans="1:4" x14ac:dyDescent="0.35">
      <c r="A51" s="9"/>
      <c r="B51" s="9"/>
      <c r="C51" s="10"/>
      <c r="D51" s="11"/>
    </row>
    <row r="52" spans="1:4" x14ac:dyDescent="0.35">
      <c r="A52" s="9"/>
      <c r="B52" s="9"/>
      <c r="C52" s="10"/>
      <c r="D52" s="11"/>
    </row>
    <row r="53" spans="1:4" x14ac:dyDescent="0.35">
      <c r="A53" s="9"/>
      <c r="B53" s="9"/>
      <c r="C53" s="10"/>
      <c r="D53" s="11"/>
    </row>
    <row r="54" spans="1:4" x14ac:dyDescent="0.35">
      <c r="A54" s="9"/>
      <c r="B54" s="9"/>
      <c r="C54" s="10"/>
      <c r="D54" s="11"/>
    </row>
    <row r="55" spans="1:4" x14ac:dyDescent="0.35">
      <c r="A55" s="9"/>
      <c r="B55" s="9"/>
      <c r="C55" s="10"/>
      <c r="D55" s="11"/>
    </row>
    <row r="56" spans="1:4" x14ac:dyDescent="0.35">
      <c r="A56" s="9"/>
      <c r="B56" s="9"/>
      <c r="C56" s="10"/>
      <c r="D56" s="11"/>
    </row>
    <row r="57" spans="1:4" x14ac:dyDescent="0.35">
      <c r="A57" s="9"/>
      <c r="B57" s="9"/>
      <c r="C57" s="10"/>
      <c r="D57" s="11"/>
    </row>
    <row r="58" spans="1:4" x14ac:dyDescent="0.35">
      <c r="A58" s="9"/>
      <c r="B58" s="9"/>
      <c r="C58" s="10"/>
      <c r="D58" s="11"/>
    </row>
    <row r="59" spans="1:4" x14ac:dyDescent="0.35">
      <c r="A59" s="9"/>
      <c r="B59" s="9"/>
      <c r="C59" s="10"/>
      <c r="D59" s="11"/>
    </row>
    <row r="60" spans="1:4" x14ac:dyDescent="0.35">
      <c r="A60" s="9"/>
      <c r="B60" s="9"/>
      <c r="C60" s="10"/>
      <c r="D60" s="11"/>
    </row>
    <row r="61" spans="1:4" x14ac:dyDescent="0.35">
      <c r="A61" s="9"/>
      <c r="B61" s="9"/>
      <c r="C61" s="10"/>
      <c r="D61" s="11"/>
    </row>
    <row r="62" spans="1:4" x14ac:dyDescent="0.35">
      <c r="A62" s="9"/>
      <c r="B62" s="9"/>
      <c r="C62" s="10"/>
      <c r="D62" s="11"/>
    </row>
    <row r="63" spans="1:4" x14ac:dyDescent="0.35">
      <c r="A63" s="9"/>
      <c r="B63" s="9"/>
      <c r="C63" s="10"/>
      <c r="D63" s="11"/>
    </row>
    <row r="64" spans="1:4" x14ac:dyDescent="0.35">
      <c r="A64" s="9"/>
      <c r="B64" s="9"/>
      <c r="C64" s="10"/>
      <c r="D64" s="11"/>
    </row>
    <row r="65" spans="1:4" x14ac:dyDescent="0.35">
      <c r="A65" s="9"/>
      <c r="B65" s="9"/>
      <c r="C65" s="10"/>
      <c r="D65" s="11"/>
    </row>
    <row r="66" spans="1:4" x14ac:dyDescent="0.35">
      <c r="A66" s="9"/>
      <c r="B66" s="9"/>
      <c r="C66" s="10"/>
      <c r="D66" s="11"/>
    </row>
    <row r="67" spans="1:4" x14ac:dyDescent="0.35">
      <c r="A67" s="9"/>
      <c r="B67" s="9"/>
      <c r="C67" s="10"/>
      <c r="D67" s="11"/>
    </row>
    <row r="68" spans="1:4" x14ac:dyDescent="0.35">
      <c r="A68" s="9"/>
      <c r="B68" s="9"/>
      <c r="C68" s="10"/>
      <c r="D68" s="11"/>
    </row>
    <row r="69" spans="1:4" x14ac:dyDescent="0.35">
      <c r="A69" s="9"/>
      <c r="B69" s="9"/>
      <c r="C69" s="10"/>
      <c r="D69" s="11"/>
    </row>
    <row r="70" spans="1:4" x14ac:dyDescent="0.35">
      <c r="A70" s="9"/>
      <c r="B70" s="9"/>
      <c r="C70" s="10"/>
      <c r="D70" s="11"/>
    </row>
    <row r="71" spans="1:4" x14ac:dyDescent="0.35">
      <c r="A71" s="9"/>
      <c r="B71" s="9"/>
      <c r="C71" s="10"/>
      <c r="D71" s="11"/>
    </row>
    <row r="72" spans="1:4" x14ac:dyDescent="0.35">
      <c r="A72" s="9"/>
      <c r="B72" s="9"/>
      <c r="C72" s="10"/>
      <c r="D72" s="11"/>
    </row>
    <row r="73" spans="1:4" x14ac:dyDescent="0.35">
      <c r="A73" s="9"/>
      <c r="B73" s="9"/>
      <c r="C73" s="10"/>
      <c r="D73" s="11"/>
    </row>
    <row r="74" spans="1:4" x14ac:dyDescent="0.35">
      <c r="A74" s="9"/>
      <c r="B74" s="9"/>
      <c r="C74" s="10"/>
      <c r="D74" s="11"/>
    </row>
    <row r="75" spans="1:4" x14ac:dyDescent="0.35">
      <c r="A75" s="9"/>
      <c r="B75" s="9"/>
      <c r="C75" s="10"/>
      <c r="D75" s="11"/>
    </row>
    <row r="76" spans="1:4" x14ac:dyDescent="0.35">
      <c r="A76" s="9"/>
      <c r="B76" s="9"/>
      <c r="C76" s="10"/>
      <c r="D76" s="11"/>
    </row>
    <row r="77" spans="1:4" x14ac:dyDescent="0.35">
      <c r="A77" s="9"/>
      <c r="B77" s="9"/>
      <c r="C77" s="10"/>
      <c r="D77" s="11"/>
    </row>
    <row r="78" spans="1:4" x14ac:dyDescent="0.35">
      <c r="A78" s="9"/>
      <c r="B78" s="9"/>
      <c r="C78" s="10"/>
      <c r="D78" s="11"/>
    </row>
    <row r="79" spans="1:4" x14ac:dyDescent="0.35">
      <c r="A79" s="9"/>
      <c r="B79" s="9"/>
      <c r="C79" s="10"/>
      <c r="D79" s="11"/>
    </row>
    <row r="80" spans="1:4" x14ac:dyDescent="0.35">
      <c r="A80" s="9"/>
      <c r="B80" s="9"/>
      <c r="C80" s="10"/>
      <c r="D80" s="11"/>
    </row>
    <row r="81" spans="1:4" x14ac:dyDescent="0.35">
      <c r="A81" s="9"/>
      <c r="B81" s="9"/>
      <c r="C81" s="10"/>
      <c r="D81" s="11"/>
    </row>
    <row r="82" spans="1:4" x14ac:dyDescent="0.35">
      <c r="A82" s="9"/>
      <c r="B82" s="9"/>
      <c r="C82" s="10"/>
      <c r="D82" s="11"/>
    </row>
    <row r="83" spans="1:4" x14ac:dyDescent="0.35">
      <c r="A83" s="9"/>
      <c r="B83" s="9"/>
      <c r="C83" s="10"/>
      <c r="D83" s="11"/>
    </row>
    <row r="84" spans="1:4" x14ac:dyDescent="0.35">
      <c r="A84" s="9"/>
      <c r="B84" s="9"/>
      <c r="C84" s="10"/>
      <c r="D84" s="11"/>
    </row>
    <row r="85" spans="1:4" x14ac:dyDescent="0.35">
      <c r="A85" s="9"/>
      <c r="B85" s="9"/>
      <c r="C85" s="10"/>
      <c r="D85" s="11"/>
    </row>
    <row r="86" spans="1:4" x14ac:dyDescent="0.35">
      <c r="A86" s="9"/>
      <c r="B86" s="9"/>
      <c r="C86" s="10"/>
      <c r="D86" s="11"/>
    </row>
    <row r="87" spans="1:4" x14ac:dyDescent="0.35">
      <c r="A87" s="9"/>
      <c r="B87" s="9"/>
      <c r="C87" s="10"/>
      <c r="D87" s="11"/>
    </row>
    <row r="88" spans="1:4" x14ac:dyDescent="0.35">
      <c r="A88" s="9"/>
      <c r="B88" s="9"/>
      <c r="C88" s="10"/>
      <c r="D88" s="11"/>
    </row>
    <row r="89" spans="1:4" x14ac:dyDescent="0.35">
      <c r="A89" s="9"/>
      <c r="B89" s="9"/>
      <c r="C89" s="10"/>
      <c r="D89" s="11"/>
    </row>
    <row r="90" spans="1:4" x14ac:dyDescent="0.35">
      <c r="A90" s="9"/>
      <c r="B90" s="9"/>
      <c r="C90" s="10"/>
      <c r="D90" s="11"/>
    </row>
    <row r="91" spans="1:4" x14ac:dyDescent="0.35">
      <c r="A91" s="9"/>
      <c r="B91" s="9"/>
      <c r="C91" s="10"/>
      <c r="D91" s="11"/>
    </row>
    <row r="92" spans="1:4" x14ac:dyDescent="0.35">
      <c r="A92" s="9"/>
      <c r="B92" s="9"/>
      <c r="C92" s="10"/>
      <c r="D92" s="11"/>
    </row>
    <row r="93" spans="1:4" x14ac:dyDescent="0.35">
      <c r="A93" s="9"/>
      <c r="B93" s="9"/>
      <c r="C93" s="10"/>
      <c r="D93" s="11"/>
    </row>
    <row r="94" spans="1:4" x14ac:dyDescent="0.35">
      <c r="A94" s="9"/>
      <c r="B94" s="9"/>
      <c r="C94" s="10"/>
      <c r="D94" s="11"/>
    </row>
    <row r="95" spans="1:4" x14ac:dyDescent="0.35">
      <c r="A95" s="9"/>
      <c r="B95" s="9"/>
      <c r="C95" s="10"/>
      <c r="D95" s="11"/>
    </row>
    <row r="96" spans="1:4" x14ac:dyDescent="0.35">
      <c r="A96" s="9"/>
      <c r="B96" s="9"/>
      <c r="C96" s="10"/>
      <c r="D96" s="11"/>
    </row>
    <row r="97" spans="1:4" x14ac:dyDescent="0.35">
      <c r="A97" s="9"/>
      <c r="B97" s="9"/>
      <c r="C97" s="10"/>
      <c r="D97" s="11"/>
    </row>
    <row r="98" spans="1:4" x14ac:dyDescent="0.35">
      <c r="A98" s="9"/>
      <c r="B98" s="9"/>
      <c r="C98" s="10"/>
      <c r="D98" s="11"/>
    </row>
    <row r="99" spans="1:4" x14ac:dyDescent="0.35">
      <c r="A99" s="9"/>
      <c r="B99" s="9"/>
      <c r="C99" s="10"/>
      <c r="D99" s="11"/>
    </row>
    <row r="100" spans="1:4" x14ac:dyDescent="0.35">
      <c r="A100" s="9"/>
      <c r="B100" s="9"/>
      <c r="C100" s="10"/>
      <c r="D100" s="11"/>
    </row>
    <row r="101" spans="1:4" x14ac:dyDescent="0.35">
      <c r="A101" s="9"/>
      <c r="B101" s="9"/>
      <c r="C101" s="10"/>
      <c r="D101" s="11"/>
    </row>
    <row r="102" spans="1:4" x14ac:dyDescent="0.35">
      <c r="A102" s="9"/>
      <c r="B102" s="9"/>
      <c r="C102" s="10"/>
      <c r="D102" s="11"/>
    </row>
    <row r="103" spans="1:4" x14ac:dyDescent="0.35">
      <c r="A103" s="9"/>
      <c r="B103" s="9"/>
      <c r="C103" s="10"/>
      <c r="D103" s="11"/>
    </row>
    <row r="104" spans="1:4" x14ac:dyDescent="0.35">
      <c r="A104" s="9"/>
      <c r="B104" s="9"/>
      <c r="C104" s="10"/>
      <c r="D104" s="11"/>
    </row>
    <row r="105" spans="1:4" x14ac:dyDescent="0.35">
      <c r="A105" s="9"/>
      <c r="B105" s="9"/>
      <c r="C105" s="10"/>
      <c r="D105" s="11"/>
    </row>
    <row r="106" spans="1:4" x14ac:dyDescent="0.35">
      <c r="A106" s="9"/>
      <c r="B106" s="9"/>
      <c r="C106" s="10"/>
      <c r="D106" s="11"/>
    </row>
    <row r="107" spans="1:4" x14ac:dyDescent="0.35">
      <c r="A107" s="9"/>
      <c r="B107" s="9"/>
      <c r="C107" s="10"/>
      <c r="D107" s="11"/>
    </row>
    <row r="108" spans="1:4" x14ac:dyDescent="0.35">
      <c r="A108" s="9"/>
      <c r="B108" s="9"/>
      <c r="C108" s="10"/>
      <c r="D108" s="11"/>
    </row>
    <row r="109" spans="1:4" x14ac:dyDescent="0.35">
      <c r="A109" s="9"/>
      <c r="B109" s="9"/>
      <c r="C109" s="10"/>
      <c r="D109" s="11"/>
    </row>
    <row r="110" spans="1:4" x14ac:dyDescent="0.35">
      <c r="A110" s="9"/>
      <c r="B110" s="9"/>
      <c r="C110" s="10"/>
      <c r="D110" s="11"/>
    </row>
    <row r="111" spans="1:4" x14ac:dyDescent="0.35">
      <c r="A111" s="9"/>
      <c r="B111" s="9"/>
      <c r="C111" s="10"/>
      <c r="D111" s="11"/>
    </row>
    <row r="112" spans="1:4" x14ac:dyDescent="0.35">
      <c r="A112" s="9"/>
      <c r="B112" s="9"/>
      <c r="C112" s="10"/>
      <c r="D112" s="11"/>
    </row>
    <row r="113" spans="1:4" x14ac:dyDescent="0.35">
      <c r="A113" s="9"/>
      <c r="B113" s="9"/>
      <c r="C113" s="10"/>
      <c r="D113" s="11"/>
    </row>
    <row r="114" spans="1:4" x14ac:dyDescent="0.35">
      <c r="A114" s="9"/>
      <c r="B114" s="9"/>
      <c r="C114" s="10"/>
      <c r="D114" s="11"/>
    </row>
    <row r="115" spans="1:4" x14ac:dyDescent="0.35">
      <c r="A115" s="9"/>
      <c r="B115" s="9"/>
      <c r="C115" s="10"/>
      <c r="D115" s="11"/>
    </row>
    <row r="116" spans="1:4" x14ac:dyDescent="0.35">
      <c r="A116" s="9"/>
      <c r="B116" s="9"/>
      <c r="C116" s="10"/>
      <c r="D116" s="11"/>
    </row>
    <row r="117" spans="1:4" x14ac:dyDescent="0.35">
      <c r="A117" s="9"/>
      <c r="B117" s="9"/>
      <c r="C117" s="10"/>
      <c r="D117" s="11"/>
    </row>
    <row r="118" spans="1:4" x14ac:dyDescent="0.35">
      <c r="A118" s="9"/>
      <c r="B118" s="9"/>
      <c r="C118" s="10"/>
      <c r="D118" s="11"/>
    </row>
    <row r="119" spans="1:4" x14ac:dyDescent="0.35">
      <c r="A119" s="9"/>
      <c r="B119" s="9"/>
      <c r="C119" s="10"/>
      <c r="D119" s="11"/>
    </row>
    <row r="120" spans="1:4" x14ac:dyDescent="0.35">
      <c r="A120" s="9"/>
      <c r="B120" s="9"/>
      <c r="C120" s="10"/>
      <c r="D120" s="11"/>
    </row>
    <row r="121" spans="1:4" x14ac:dyDescent="0.35">
      <c r="A121" s="9"/>
      <c r="B121" s="9"/>
      <c r="C121" s="10"/>
      <c r="D121" s="11"/>
    </row>
    <row r="122" spans="1:4" x14ac:dyDescent="0.35">
      <c r="A122" s="9"/>
      <c r="B122" s="9"/>
      <c r="C122" s="10"/>
      <c r="D122" s="11"/>
    </row>
    <row r="123" spans="1:4" x14ac:dyDescent="0.35">
      <c r="A123" s="9"/>
      <c r="B123" s="9"/>
      <c r="C123" s="10"/>
      <c r="D123" s="11"/>
    </row>
    <row r="124" spans="1:4" x14ac:dyDescent="0.35">
      <c r="A124" s="9"/>
      <c r="B124" s="9"/>
      <c r="C124" s="10"/>
      <c r="D124" s="11"/>
    </row>
    <row r="125" spans="1:4" x14ac:dyDescent="0.35">
      <c r="A125" s="9"/>
      <c r="B125" s="9"/>
      <c r="C125" s="10"/>
      <c r="D125" s="11"/>
    </row>
    <row r="126" spans="1:4" x14ac:dyDescent="0.35">
      <c r="A126" s="9"/>
      <c r="B126" s="9"/>
      <c r="C126" s="10"/>
      <c r="D126" s="11"/>
    </row>
    <row r="127" spans="1:4" x14ac:dyDescent="0.35">
      <c r="A127" s="9"/>
      <c r="B127" s="9"/>
      <c r="C127" s="10"/>
      <c r="D127" s="11"/>
    </row>
    <row r="128" spans="1:4" x14ac:dyDescent="0.35">
      <c r="A128" s="9"/>
      <c r="B128" s="9"/>
      <c r="C128" s="10"/>
      <c r="D128" s="11"/>
    </row>
    <row r="129" spans="1:4" x14ac:dyDescent="0.35">
      <c r="A129" s="9"/>
      <c r="B129" s="9"/>
      <c r="C129" s="10"/>
      <c r="D129" s="11"/>
    </row>
    <row r="130" spans="1:4" x14ac:dyDescent="0.35">
      <c r="A130" s="9"/>
      <c r="B130" s="9"/>
      <c r="C130" s="10"/>
      <c r="D130" s="11"/>
    </row>
    <row r="131" spans="1:4" x14ac:dyDescent="0.35">
      <c r="A131" s="9"/>
      <c r="B131" s="9"/>
      <c r="C131" s="10"/>
      <c r="D131" s="11"/>
    </row>
    <row r="132" spans="1:4" x14ac:dyDescent="0.35">
      <c r="A132" s="9"/>
      <c r="B132" s="9"/>
      <c r="C132" s="10"/>
      <c r="D132" s="11"/>
    </row>
    <row r="133" spans="1:4" x14ac:dyDescent="0.35">
      <c r="A133" s="9"/>
      <c r="B133" s="9"/>
      <c r="C133" s="10"/>
      <c r="D133" s="11"/>
    </row>
    <row r="134" spans="1:4" x14ac:dyDescent="0.35">
      <c r="A134" s="9"/>
      <c r="B134" s="9"/>
      <c r="C134" s="10"/>
      <c r="D134" s="11"/>
    </row>
    <row r="135" spans="1:4" x14ac:dyDescent="0.35">
      <c r="A135" s="9"/>
      <c r="B135" s="9"/>
      <c r="C135" s="10"/>
      <c r="D135" s="11"/>
    </row>
    <row r="136" spans="1:4" x14ac:dyDescent="0.35">
      <c r="A136" s="9"/>
      <c r="B136" s="9"/>
      <c r="C136" s="10"/>
      <c r="D136" s="11"/>
    </row>
    <row r="137" spans="1:4" x14ac:dyDescent="0.35">
      <c r="A137" s="9"/>
      <c r="B137" s="9"/>
      <c r="C137" s="10"/>
      <c r="D137" s="11"/>
    </row>
    <row r="138" spans="1:4" x14ac:dyDescent="0.35">
      <c r="A138" s="9"/>
      <c r="B138" s="9"/>
      <c r="C138" s="10"/>
      <c r="D138" s="11"/>
    </row>
    <row r="139" spans="1:4" x14ac:dyDescent="0.35">
      <c r="A139" s="9"/>
      <c r="B139" s="9"/>
      <c r="C139" s="10"/>
      <c r="D139" s="11"/>
    </row>
    <row r="140" spans="1:4" x14ac:dyDescent="0.35">
      <c r="A140" s="9"/>
      <c r="B140" s="9"/>
      <c r="C140" s="10"/>
      <c r="D140" s="11"/>
    </row>
    <row r="141" spans="1:4" x14ac:dyDescent="0.35">
      <c r="A141" s="9"/>
      <c r="B141" s="9"/>
      <c r="C141" s="10"/>
      <c r="D141" s="11"/>
    </row>
    <row r="142" spans="1:4" x14ac:dyDescent="0.35">
      <c r="A142" s="9"/>
      <c r="B142" s="9"/>
      <c r="C142" s="10"/>
      <c r="D142" s="11"/>
    </row>
    <row r="143" spans="1:4" x14ac:dyDescent="0.35">
      <c r="A143" s="9"/>
      <c r="B143" s="9"/>
      <c r="C143" s="10"/>
      <c r="D143" s="11"/>
    </row>
    <row r="144" spans="1:4" x14ac:dyDescent="0.35">
      <c r="A144" s="9"/>
      <c r="B144" s="9"/>
      <c r="C144" s="10"/>
      <c r="D144" s="11"/>
    </row>
    <row r="145" spans="1:4" x14ac:dyDescent="0.35">
      <c r="A145" s="9"/>
      <c r="B145" s="9"/>
      <c r="C145" s="10"/>
      <c r="D145" s="11"/>
    </row>
    <row r="146" spans="1:4" x14ac:dyDescent="0.35">
      <c r="A146" s="9"/>
      <c r="B146" s="9"/>
      <c r="C146" s="10"/>
      <c r="D146" s="11"/>
    </row>
    <row r="147" spans="1:4" x14ac:dyDescent="0.35">
      <c r="A147" s="9"/>
      <c r="B147" s="9"/>
      <c r="C147" s="10"/>
      <c r="D147" s="11"/>
    </row>
    <row r="148" spans="1:4" x14ac:dyDescent="0.35">
      <c r="A148" s="9"/>
      <c r="B148" s="9"/>
      <c r="C148" s="10"/>
      <c r="D148" s="11"/>
    </row>
    <row r="149" spans="1:4" x14ac:dyDescent="0.35">
      <c r="A149" s="9"/>
      <c r="B149" s="9"/>
      <c r="C149" s="10"/>
      <c r="D149" s="11"/>
    </row>
    <row r="150" spans="1:4" x14ac:dyDescent="0.35">
      <c r="A150" s="9"/>
      <c r="B150" s="9"/>
      <c r="C150" s="10"/>
      <c r="D150" s="11"/>
    </row>
    <row r="151" spans="1:4" x14ac:dyDescent="0.35">
      <c r="A151" s="9"/>
      <c r="B151" s="9"/>
      <c r="C151" s="10"/>
      <c r="D151" s="11"/>
    </row>
    <row r="152" spans="1:4" x14ac:dyDescent="0.35">
      <c r="A152" s="9"/>
      <c r="B152" s="9"/>
      <c r="C152" s="10"/>
      <c r="D152" s="11"/>
    </row>
    <row r="153" spans="1:4" x14ac:dyDescent="0.35">
      <c r="A153" s="9"/>
      <c r="B153" s="9"/>
      <c r="C153" s="10"/>
      <c r="D153" s="11"/>
    </row>
    <row r="154" spans="1:4" x14ac:dyDescent="0.35">
      <c r="A154" s="9"/>
      <c r="B154" s="9"/>
      <c r="C154" s="10"/>
      <c r="D154" s="11"/>
    </row>
    <row r="155" spans="1:4" x14ac:dyDescent="0.35">
      <c r="A155" s="9"/>
      <c r="B155" s="9"/>
      <c r="C155" s="10"/>
      <c r="D155" s="11"/>
    </row>
    <row r="156" spans="1:4" x14ac:dyDescent="0.35">
      <c r="A156" s="9"/>
      <c r="B156" s="9"/>
      <c r="C156" s="10"/>
      <c r="D156" s="11"/>
    </row>
    <row r="157" spans="1:4" x14ac:dyDescent="0.35">
      <c r="A157" s="9"/>
      <c r="B157" s="9"/>
      <c r="C157" s="10"/>
      <c r="D157" s="11"/>
    </row>
    <row r="158" spans="1:4" x14ac:dyDescent="0.35">
      <c r="A158" s="9"/>
      <c r="B158" s="9"/>
      <c r="C158" s="10"/>
      <c r="D158" s="11"/>
    </row>
    <row r="159" spans="1:4" x14ac:dyDescent="0.35">
      <c r="A159" s="9"/>
      <c r="B159" s="9"/>
      <c r="C159" s="10"/>
      <c r="D159" s="11"/>
    </row>
    <row r="160" spans="1:4" x14ac:dyDescent="0.35">
      <c r="A160" s="9"/>
      <c r="B160" s="9"/>
      <c r="C160" s="10"/>
      <c r="D160" s="11"/>
    </row>
    <row r="161" spans="1:4" x14ac:dyDescent="0.35">
      <c r="A161" s="9"/>
      <c r="B161" s="9"/>
      <c r="C161" s="10"/>
      <c r="D161" s="11"/>
    </row>
    <row r="162" spans="1:4" x14ac:dyDescent="0.35">
      <c r="A162" s="9"/>
      <c r="B162" s="9"/>
      <c r="C162" s="10"/>
      <c r="D162" s="11"/>
    </row>
    <row r="163" spans="1:4" x14ac:dyDescent="0.35">
      <c r="A163" s="9"/>
      <c r="B163" s="9"/>
      <c r="C163" s="10"/>
      <c r="D163" s="11"/>
    </row>
    <row r="164" spans="1:4" x14ac:dyDescent="0.35">
      <c r="A164" s="9"/>
      <c r="B164" s="9"/>
      <c r="C164" s="10"/>
      <c r="D164" s="11"/>
    </row>
    <row r="165" spans="1:4" x14ac:dyDescent="0.35">
      <c r="A165" s="9"/>
      <c r="B165" s="9"/>
      <c r="C165" s="10"/>
      <c r="D165" s="11"/>
    </row>
    <row r="166" spans="1:4" x14ac:dyDescent="0.35">
      <c r="A166" s="9"/>
      <c r="B166" s="9"/>
      <c r="C166" s="10"/>
      <c r="D166" s="11"/>
    </row>
    <row r="167" spans="1:4" x14ac:dyDescent="0.35">
      <c r="A167" s="9"/>
      <c r="B167" s="9"/>
      <c r="C167" s="10"/>
      <c r="D167" s="11"/>
    </row>
    <row r="168" spans="1:4" x14ac:dyDescent="0.35">
      <c r="A168" s="9"/>
      <c r="B168" s="9"/>
      <c r="C168" s="10"/>
      <c r="D168" s="11"/>
    </row>
    <row r="169" spans="1:4" x14ac:dyDescent="0.35">
      <c r="A169" s="9"/>
      <c r="B169" s="9"/>
      <c r="C169" s="10"/>
      <c r="D169" s="11"/>
    </row>
    <row r="170" spans="1:4" x14ac:dyDescent="0.35">
      <c r="A170" s="9"/>
      <c r="B170" s="9"/>
      <c r="C170" s="10"/>
      <c r="D170" s="11"/>
    </row>
    <row r="171" spans="1:4" x14ac:dyDescent="0.35">
      <c r="A171" s="9"/>
      <c r="B171" s="9"/>
      <c r="C171" s="10"/>
      <c r="D171" s="11"/>
    </row>
    <row r="172" spans="1:4" x14ac:dyDescent="0.35">
      <c r="A172" s="9"/>
      <c r="B172" s="9"/>
      <c r="C172" s="10"/>
      <c r="D172" s="11"/>
    </row>
    <row r="173" spans="1:4" x14ac:dyDescent="0.35">
      <c r="A173" s="9"/>
      <c r="B173" s="9"/>
      <c r="C173" s="10"/>
      <c r="D173" s="11"/>
    </row>
    <row r="174" spans="1:4" x14ac:dyDescent="0.35">
      <c r="A174" s="9"/>
      <c r="B174" s="9"/>
      <c r="C174" s="10"/>
      <c r="D174" s="11"/>
    </row>
    <row r="175" spans="1:4" x14ac:dyDescent="0.35">
      <c r="A175" s="9"/>
      <c r="B175" s="9"/>
      <c r="C175" s="10"/>
      <c r="D175" s="11"/>
    </row>
    <row r="176" spans="1:4" x14ac:dyDescent="0.35">
      <c r="A176" s="9"/>
      <c r="B176" s="9"/>
      <c r="C176" s="10"/>
      <c r="D176" s="11"/>
    </row>
    <row r="177" spans="1:4" x14ac:dyDescent="0.35">
      <c r="A177" s="9"/>
      <c r="B177" s="9"/>
      <c r="C177" s="10"/>
      <c r="D177" s="11"/>
    </row>
    <row r="178" spans="1:4" x14ac:dyDescent="0.35">
      <c r="A178" s="9"/>
      <c r="B178" s="9"/>
      <c r="C178" s="10"/>
      <c r="D178" s="11"/>
    </row>
    <row r="179" spans="1:4" x14ac:dyDescent="0.35">
      <c r="A179" s="9"/>
      <c r="B179" s="9"/>
      <c r="C179" s="10"/>
      <c r="D179" s="11"/>
    </row>
    <row r="180" spans="1:4" x14ac:dyDescent="0.35">
      <c r="A180" s="9"/>
      <c r="B180" s="9"/>
      <c r="C180" s="10"/>
      <c r="D180" s="11"/>
    </row>
    <row r="181" spans="1:4" x14ac:dyDescent="0.35">
      <c r="A181" s="9"/>
      <c r="B181" s="9"/>
      <c r="C181" s="10"/>
      <c r="D181" s="11"/>
    </row>
    <row r="182" spans="1:4" x14ac:dyDescent="0.35">
      <c r="A182" s="9"/>
      <c r="B182" s="9"/>
      <c r="C182" s="10"/>
      <c r="D182" s="11"/>
    </row>
    <row r="183" spans="1:4" x14ac:dyDescent="0.35">
      <c r="A183" s="9"/>
      <c r="B183" s="9"/>
      <c r="C183" s="10"/>
      <c r="D183" s="11"/>
    </row>
    <row r="184" spans="1:4" x14ac:dyDescent="0.35">
      <c r="A184" s="9"/>
      <c r="B184" s="9"/>
      <c r="C184" s="10"/>
      <c r="D184" s="11"/>
    </row>
    <row r="185" spans="1:4" x14ac:dyDescent="0.35">
      <c r="A185" s="9"/>
      <c r="B185" s="9"/>
      <c r="C185" s="10"/>
      <c r="D185" s="11"/>
    </row>
    <row r="186" spans="1:4" x14ac:dyDescent="0.35">
      <c r="A186" s="9"/>
      <c r="B186" s="9"/>
      <c r="C186" s="10"/>
      <c r="D186" s="11"/>
    </row>
    <row r="187" spans="1:4" x14ac:dyDescent="0.35">
      <c r="A187" s="9"/>
      <c r="B187" s="9"/>
      <c r="C187" s="10"/>
      <c r="D187" s="11"/>
    </row>
    <row r="188" spans="1:4" x14ac:dyDescent="0.35">
      <c r="A188" s="9"/>
      <c r="B188" s="9"/>
      <c r="C188" s="10"/>
      <c r="D188" s="11"/>
    </row>
    <row r="189" spans="1:4" x14ac:dyDescent="0.35">
      <c r="A189" s="9"/>
      <c r="B189" s="9"/>
      <c r="C189" s="10"/>
      <c r="D189" s="11"/>
    </row>
    <row r="190" spans="1:4" x14ac:dyDescent="0.35">
      <c r="A190" s="9"/>
      <c r="B190" s="9"/>
      <c r="C190" s="10"/>
      <c r="D190" s="11"/>
    </row>
    <row r="191" spans="1:4" x14ac:dyDescent="0.35">
      <c r="A191" s="9"/>
      <c r="B191" s="9"/>
      <c r="C191" s="10"/>
      <c r="D191" s="11"/>
    </row>
    <row r="192" spans="1:4" x14ac:dyDescent="0.35">
      <c r="A192" s="9"/>
      <c r="B192" s="9"/>
      <c r="C192" s="10"/>
      <c r="D192" s="11"/>
    </row>
    <row r="193" spans="1:4" x14ac:dyDescent="0.35">
      <c r="A193" s="9"/>
      <c r="B193" s="9"/>
      <c r="C193" s="10"/>
      <c r="D193" s="11"/>
    </row>
    <row r="194" spans="1:4" x14ac:dyDescent="0.35">
      <c r="A194" s="9"/>
      <c r="B194" s="9"/>
      <c r="C194" s="10"/>
      <c r="D194" s="11"/>
    </row>
    <row r="195" spans="1:4" x14ac:dyDescent="0.35">
      <c r="A195" s="9"/>
      <c r="B195" s="9"/>
      <c r="C195" s="10"/>
      <c r="D195" s="11"/>
    </row>
    <row r="196" spans="1:4" x14ac:dyDescent="0.35">
      <c r="A196" s="9"/>
      <c r="B196" s="9"/>
      <c r="C196" s="10"/>
      <c r="D196" s="11"/>
    </row>
    <row r="197" spans="1:4" x14ac:dyDescent="0.35">
      <c r="A197" s="9"/>
      <c r="B197" s="9"/>
      <c r="C197" s="10"/>
      <c r="D197" s="11"/>
    </row>
    <row r="198" spans="1:4" x14ac:dyDescent="0.35">
      <c r="A198" s="9"/>
      <c r="B198" s="9"/>
      <c r="C198" s="10"/>
      <c r="D198" s="11"/>
    </row>
    <row r="199" spans="1:4" x14ac:dyDescent="0.35">
      <c r="A199" s="9"/>
      <c r="B199" s="9"/>
      <c r="C199" s="10"/>
      <c r="D199" s="11"/>
    </row>
    <row r="200" spans="1:4" x14ac:dyDescent="0.35">
      <c r="A200" s="9"/>
      <c r="B200" s="9"/>
      <c r="C200" s="10"/>
      <c r="D200" s="11"/>
    </row>
    <row r="201" spans="1:4" x14ac:dyDescent="0.35">
      <c r="A201" s="9"/>
      <c r="B201" s="9"/>
      <c r="C201" s="10"/>
      <c r="D201" s="11"/>
    </row>
    <row r="202" spans="1:4" x14ac:dyDescent="0.35">
      <c r="A202" s="9"/>
      <c r="B202" s="9"/>
      <c r="C202" s="10"/>
      <c r="D202" s="11"/>
    </row>
    <row r="203" spans="1:4" x14ac:dyDescent="0.35">
      <c r="A203" s="9"/>
      <c r="B203" s="9"/>
      <c r="C203" s="10"/>
      <c r="D203" s="11"/>
    </row>
    <row r="204" spans="1:4" x14ac:dyDescent="0.35">
      <c r="A204" s="9"/>
      <c r="B204" s="9"/>
      <c r="C204" s="10"/>
      <c r="D204" s="11"/>
    </row>
    <row r="205" spans="1:4" x14ac:dyDescent="0.35">
      <c r="A205" s="9"/>
      <c r="B205" s="9"/>
      <c r="C205" s="10"/>
      <c r="D205" s="11"/>
    </row>
  </sheetData>
  <phoneticPr fontId="3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J25"/>
  <sheetViews>
    <sheetView tabSelected="1" zoomScaleNormal="100" workbookViewId="0">
      <selection activeCell="E7" sqref="E7"/>
    </sheetView>
  </sheetViews>
  <sheetFormatPr defaultColWidth="9.1796875" defaultRowHeight="14" x14ac:dyDescent="0.35"/>
  <cols>
    <col min="1" max="1" width="5.26953125" style="126" customWidth="1"/>
    <col min="2" max="2" width="8.1796875" style="126" customWidth="1"/>
    <col min="3" max="4" width="10" style="136" customWidth="1"/>
    <col min="5" max="5" width="8.54296875" style="126" customWidth="1"/>
    <col min="6" max="6" width="9.1796875" style="126"/>
    <col min="7" max="7" width="1" style="126" customWidth="1"/>
    <col min="8" max="9" width="9.1796875" style="126"/>
    <col min="10" max="10" width="19.453125" style="126" bestFit="1" customWidth="1"/>
    <col min="11" max="16384" width="9.1796875" style="126"/>
  </cols>
  <sheetData>
    <row r="1" spans="1:10" x14ac:dyDescent="0.35">
      <c r="A1" s="140" t="s">
        <v>245</v>
      </c>
      <c r="B1" s="136"/>
      <c r="E1" s="129" t="s">
        <v>244</v>
      </c>
      <c r="F1" s="182" t="s">
        <v>285</v>
      </c>
      <c r="G1" s="127"/>
      <c r="H1" s="367" t="s">
        <v>286</v>
      </c>
      <c r="I1" s="367"/>
    </row>
    <row r="2" spans="1:10" x14ac:dyDescent="0.35">
      <c r="A2" s="136"/>
      <c r="B2" s="136"/>
      <c r="D2" s="127"/>
      <c r="E2" s="147">
        <v>1</v>
      </c>
      <c r="F2" s="133">
        <v>0</v>
      </c>
      <c r="G2" s="128"/>
      <c r="H2" s="134">
        <v>-3.0000000000000001E-3</v>
      </c>
      <c r="I2" s="135">
        <v>3.0000000000000001E-3</v>
      </c>
    </row>
    <row r="3" spans="1:10" x14ac:dyDescent="0.35">
      <c r="A3" s="129" t="s">
        <v>243</v>
      </c>
      <c r="B3" s="129" t="s">
        <v>287</v>
      </c>
      <c r="C3" s="129" t="s">
        <v>288</v>
      </c>
      <c r="D3" s="129" t="s">
        <v>289</v>
      </c>
      <c r="E3" s="129" t="s">
        <v>241</v>
      </c>
      <c r="F3" s="181" t="s">
        <v>242</v>
      </c>
      <c r="G3" s="136"/>
      <c r="H3" s="368" t="s">
        <v>242</v>
      </c>
      <c r="I3" s="368"/>
      <c r="J3" s="141" t="s">
        <v>248</v>
      </c>
    </row>
    <row r="4" spans="1:10" x14ac:dyDescent="0.35">
      <c r="A4" s="137">
        <v>0</v>
      </c>
      <c r="B4" s="130">
        <v>1</v>
      </c>
      <c r="C4" s="130">
        <f t="shared" ref="C4:C24" si="0">BB($A$4,A4,$E$2)</f>
        <v>0</v>
      </c>
      <c r="D4" s="130">
        <f t="shared" ref="D4:D24" si="1">AA($A$4,A4,$E$2)</f>
        <v>0</v>
      </c>
      <c r="E4" s="131">
        <f t="shared" ref="E4:E24" si="2">B4/$B$4*EXP(D4-C4*$F$2)</f>
        <v>1</v>
      </c>
      <c r="F4" s="132"/>
      <c r="G4" s="132"/>
      <c r="H4" s="132"/>
      <c r="J4" s="142"/>
    </row>
    <row r="5" spans="1:10" x14ac:dyDescent="0.35">
      <c r="A5" s="137">
        <v>0.5</v>
      </c>
      <c r="B5" s="130">
        <v>0.99828600000000001</v>
      </c>
      <c r="C5" s="130">
        <f t="shared" si="0"/>
        <v>0.39346934028736658</v>
      </c>
      <c r="D5" s="130">
        <f t="shared" si="1"/>
        <v>0</v>
      </c>
      <c r="E5" s="131">
        <f t="shared" si="2"/>
        <v>0.99828600000000001</v>
      </c>
      <c r="F5" s="132">
        <f t="shared" ref="F5:F24" si="3">-(LN(B5/$B$4)+D5-C5*$F$2)/A5</f>
        <v>3.4309411572427976E-3</v>
      </c>
      <c r="G5" s="132"/>
      <c r="H5" s="132">
        <f t="shared" ref="H5:H24" si="4">-(LN(B5/$B$4)+D5-C5*$H$2)/A5</f>
        <v>1.0701251155185981E-3</v>
      </c>
      <c r="I5" s="132">
        <f t="shared" ref="I5:I24" si="5">-(LN(B5/$B$4)+D5-C5*$I$2)/A5</f>
        <v>5.7917571989669972E-3</v>
      </c>
      <c r="J5" s="143" t="s">
        <v>246</v>
      </c>
    </row>
    <row r="6" spans="1:10" x14ac:dyDescent="0.35">
      <c r="A6" s="137">
        <v>1</v>
      </c>
      <c r="B6" s="130">
        <v>0.99663299999999999</v>
      </c>
      <c r="C6" s="130">
        <f t="shared" si="0"/>
        <v>0.63212055882855767</v>
      </c>
      <c r="D6" s="130">
        <f t="shared" si="1"/>
        <v>0</v>
      </c>
      <c r="E6" s="131">
        <f t="shared" si="2"/>
        <v>0.99663299999999999</v>
      </c>
      <c r="F6" s="132">
        <f t="shared" si="3"/>
        <v>3.3726811002608818E-3</v>
      </c>
      <c r="G6" s="132"/>
      <c r="H6" s="132">
        <f t="shared" si="4"/>
        <v>1.4763194237752087E-3</v>
      </c>
      <c r="I6" s="132">
        <f t="shared" si="5"/>
        <v>5.2690427767465549E-3</v>
      </c>
      <c r="J6" s="143" t="s">
        <v>247</v>
      </c>
    </row>
    <row r="7" spans="1:10" x14ac:dyDescent="0.35">
      <c r="A7" s="137">
        <v>1.5</v>
      </c>
      <c r="B7" s="130">
        <v>0.99487400000000004</v>
      </c>
      <c r="C7" s="130">
        <f t="shared" si="0"/>
        <v>0.77686983985157021</v>
      </c>
      <c r="D7" s="130">
        <f t="shared" si="1"/>
        <v>0</v>
      </c>
      <c r="E7" s="131">
        <f t="shared" si="2"/>
        <v>0.99487400000000004</v>
      </c>
      <c r="F7" s="132">
        <f t="shared" si="3"/>
        <v>3.4261220053531296E-3</v>
      </c>
      <c r="G7" s="132"/>
      <c r="H7" s="132">
        <f t="shared" si="4"/>
        <v>1.8723823256499891E-3</v>
      </c>
      <c r="I7" s="132">
        <f t="shared" si="5"/>
        <v>4.9798616850562699E-3</v>
      </c>
      <c r="J7" s="142" t="s">
        <v>249</v>
      </c>
    </row>
    <row r="8" spans="1:10" x14ac:dyDescent="0.35">
      <c r="A8" s="138">
        <v>2</v>
      </c>
      <c r="B8" s="130">
        <v>0.99320399999999998</v>
      </c>
      <c r="C8" s="130">
        <f t="shared" si="0"/>
        <v>0.8646647167633873</v>
      </c>
      <c r="D8" s="130">
        <f t="shared" si="1"/>
        <v>0</v>
      </c>
      <c r="E8" s="131">
        <f t="shared" si="2"/>
        <v>0.99320399999999998</v>
      </c>
      <c r="F8" s="132">
        <f t="shared" si="3"/>
        <v>3.409598985004546E-3</v>
      </c>
      <c r="G8" s="132"/>
      <c r="H8" s="132">
        <f t="shared" si="4"/>
        <v>2.1126019098594651E-3</v>
      </c>
      <c r="I8" s="132">
        <f t="shared" si="5"/>
        <v>4.706596060149627E-3</v>
      </c>
    </row>
    <row r="9" spans="1:10" x14ac:dyDescent="0.35">
      <c r="A9" s="138">
        <v>2.5</v>
      </c>
      <c r="B9" s="130">
        <v>0.99122699999999997</v>
      </c>
      <c r="C9" s="130">
        <f t="shared" si="0"/>
        <v>0.91791500137610116</v>
      </c>
      <c r="D9" s="130">
        <f t="shared" si="1"/>
        <v>0</v>
      </c>
      <c r="E9" s="131">
        <f t="shared" si="2"/>
        <v>0.99122699999999997</v>
      </c>
      <c r="F9" s="132">
        <f t="shared" si="3"/>
        <v>3.5246837315021763E-3</v>
      </c>
      <c r="G9" s="132"/>
      <c r="H9" s="132">
        <f t="shared" si="4"/>
        <v>2.4231857298508547E-3</v>
      </c>
      <c r="I9" s="132">
        <f t="shared" si="5"/>
        <v>4.626181733153498E-3</v>
      </c>
    </row>
    <row r="10" spans="1:10" x14ac:dyDescent="0.35">
      <c r="A10" s="138">
        <v>3</v>
      </c>
      <c r="B10" s="130">
        <v>0.989209</v>
      </c>
      <c r="C10" s="130">
        <f t="shared" si="0"/>
        <v>0.95021293163213605</v>
      </c>
      <c r="D10" s="130">
        <f t="shared" si="1"/>
        <v>0</v>
      </c>
      <c r="E10" s="183">
        <f t="shared" si="2"/>
        <v>0.989209</v>
      </c>
      <c r="F10" s="184">
        <f t="shared" si="3"/>
        <v>3.6165483716812156E-3</v>
      </c>
      <c r="G10" s="132"/>
      <c r="H10" s="132">
        <f t="shared" si="4"/>
        <v>2.6663354400490794E-3</v>
      </c>
      <c r="I10" s="132">
        <f t="shared" si="5"/>
        <v>4.5667613033133518E-3</v>
      </c>
    </row>
    <row r="11" spans="1:10" ht="48" customHeight="1" x14ac:dyDescent="0.35">
      <c r="A11" s="138">
        <v>3.5</v>
      </c>
      <c r="B11" s="130">
        <v>0.98677300000000001</v>
      </c>
      <c r="C11" s="130">
        <f t="shared" si="0"/>
        <v>0.96980261657768152</v>
      </c>
      <c r="D11" s="130">
        <f t="shared" si="1"/>
        <v>0</v>
      </c>
      <c r="E11" s="131">
        <f t="shared" si="2"/>
        <v>0.98677300000000001</v>
      </c>
      <c r="F11" s="132">
        <f t="shared" si="3"/>
        <v>3.8043588196196533E-3</v>
      </c>
      <c r="G11" s="132"/>
      <c r="H11" s="132">
        <f t="shared" si="4"/>
        <v>2.97309943398164E-3</v>
      </c>
      <c r="I11" s="132">
        <f t="shared" si="5"/>
        <v>4.6356182052576661E-3</v>
      </c>
    </row>
    <row r="12" spans="1:10" x14ac:dyDescent="0.35">
      <c r="A12" s="138">
        <v>4</v>
      </c>
      <c r="B12" s="130">
        <v>0.98416000000000003</v>
      </c>
      <c r="C12" s="130">
        <f t="shared" si="0"/>
        <v>0.98168436111126578</v>
      </c>
      <c r="D12" s="130">
        <f t="shared" si="1"/>
        <v>0</v>
      </c>
      <c r="E12" s="131">
        <f t="shared" si="2"/>
        <v>0.98416000000000003</v>
      </c>
      <c r="F12" s="132">
        <f t="shared" si="3"/>
        <v>3.9916983805197192E-3</v>
      </c>
      <c r="G12" s="132"/>
      <c r="H12" s="132">
        <f t="shared" si="4"/>
        <v>3.2554351096862697E-3</v>
      </c>
      <c r="I12" s="132">
        <f t="shared" si="5"/>
        <v>4.7279616513531686E-3</v>
      </c>
    </row>
    <row r="13" spans="1:10" x14ac:dyDescent="0.35">
      <c r="A13" s="138">
        <v>4.5</v>
      </c>
      <c r="B13" s="130">
        <v>0.98083799999999999</v>
      </c>
      <c r="C13" s="130">
        <f t="shared" si="0"/>
        <v>0.98889100346175773</v>
      </c>
      <c r="D13" s="130">
        <f t="shared" si="1"/>
        <v>0</v>
      </c>
      <c r="E13" s="131">
        <f t="shared" si="2"/>
        <v>0.98083799999999999</v>
      </c>
      <c r="F13" s="132">
        <f t="shared" si="3"/>
        <v>4.2995490373711294E-3</v>
      </c>
      <c r="G13" s="132"/>
      <c r="H13" s="132">
        <f t="shared" si="4"/>
        <v>3.6402883683966242E-3</v>
      </c>
      <c r="I13" s="132">
        <f t="shared" si="5"/>
        <v>4.9588097063456337E-3</v>
      </c>
    </row>
    <row r="14" spans="1:10" x14ac:dyDescent="0.35">
      <c r="A14" s="138">
        <v>5</v>
      </c>
      <c r="B14" s="130">
        <v>0.97729600000000005</v>
      </c>
      <c r="C14" s="130">
        <f t="shared" si="0"/>
        <v>0.99326205300091452</v>
      </c>
      <c r="D14" s="130">
        <f t="shared" si="1"/>
        <v>0</v>
      </c>
      <c r="E14" s="131">
        <f t="shared" si="2"/>
        <v>0.97729600000000005</v>
      </c>
      <c r="F14" s="132">
        <f t="shared" si="3"/>
        <v>4.5931409109515996E-3</v>
      </c>
      <c r="G14" s="132"/>
      <c r="H14" s="132">
        <f t="shared" si="4"/>
        <v>3.997183679151051E-3</v>
      </c>
      <c r="I14" s="132">
        <f t="shared" si="5"/>
        <v>5.1890981427521483E-3</v>
      </c>
    </row>
    <row r="15" spans="1:10" x14ac:dyDescent="0.35">
      <c r="A15" s="138">
        <v>5.5</v>
      </c>
      <c r="B15" s="130">
        <v>0.97269799999999995</v>
      </c>
      <c r="C15" s="130">
        <f t="shared" si="0"/>
        <v>0.99591322856153597</v>
      </c>
      <c r="D15" s="130">
        <f t="shared" si="1"/>
        <v>0</v>
      </c>
      <c r="E15" s="131">
        <f t="shared" si="2"/>
        <v>0.97269799999999995</v>
      </c>
      <c r="F15" s="132">
        <f t="shared" si="3"/>
        <v>5.0330227711402218E-3</v>
      </c>
      <c r="G15" s="132"/>
      <c r="H15" s="132">
        <f t="shared" si="4"/>
        <v>4.4897973737430203E-3</v>
      </c>
      <c r="I15" s="132">
        <f t="shared" si="5"/>
        <v>5.5762481685374234E-3</v>
      </c>
    </row>
    <row r="16" spans="1:10" x14ac:dyDescent="0.35">
      <c r="A16" s="138">
        <v>6</v>
      </c>
      <c r="B16" s="130">
        <v>0.96779899999999996</v>
      </c>
      <c r="C16" s="130">
        <f t="shared" si="0"/>
        <v>0.99752124782333362</v>
      </c>
      <c r="D16" s="130">
        <f t="shared" si="1"/>
        <v>0</v>
      </c>
      <c r="E16" s="131">
        <f t="shared" si="2"/>
        <v>0.96779899999999996</v>
      </c>
      <c r="F16" s="132">
        <f t="shared" si="3"/>
        <v>5.455142982464964E-3</v>
      </c>
      <c r="G16" s="132"/>
      <c r="H16" s="132">
        <f t="shared" si="4"/>
        <v>4.9563823585532978E-3</v>
      </c>
      <c r="I16" s="132">
        <f t="shared" si="5"/>
        <v>5.9539036063766303E-3</v>
      </c>
    </row>
    <row r="17" spans="1:9" x14ac:dyDescent="0.35">
      <c r="A17" s="138">
        <v>6.5</v>
      </c>
      <c r="B17" s="130">
        <v>0.96175699999999997</v>
      </c>
      <c r="C17" s="130">
        <f t="shared" si="0"/>
        <v>0.99849656080702243</v>
      </c>
      <c r="D17" s="130">
        <f t="shared" si="1"/>
        <v>0</v>
      </c>
      <c r="E17" s="131">
        <f t="shared" si="2"/>
        <v>0.96175699999999997</v>
      </c>
      <c r="F17" s="132">
        <f t="shared" si="3"/>
        <v>5.9989936888411874E-3</v>
      </c>
      <c r="G17" s="132"/>
      <c r="H17" s="132">
        <f t="shared" si="4"/>
        <v>5.5381491223148692E-3</v>
      </c>
      <c r="I17" s="132">
        <f t="shared" si="5"/>
        <v>6.4598382553675057E-3</v>
      </c>
    </row>
    <row r="18" spans="1:9" x14ac:dyDescent="0.35">
      <c r="A18" s="138">
        <v>7</v>
      </c>
      <c r="B18" s="130">
        <v>0.955376</v>
      </c>
      <c r="C18" s="130">
        <f t="shared" si="0"/>
        <v>0.99908811803444553</v>
      </c>
      <c r="D18" s="130">
        <f t="shared" si="1"/>
        <v>0</v>
      </c>
      <c r="E18" s="131">
        <f t="shared" si="2"/>
        <v>0.955376</v>
      </c>
      <c r="F18" s="132">
        <f t="shared" si="3"/>
        <v>6.5214712443184839E-3</v>
      </c>
      <c r="G18" s="132"/>
      <c r="H18" s="132">
        <f t="shared" si="4"/>
        <v>6.0932906223037219E-3</v>
      </c>
      <c r="I18" s="132">
        <f t="shared" si="5"/>
        <v>6.9496518663332467E-3</v>
      </c>
    </row>
    <row r="19" spans="1:9" x14ac:dyDescent="0.35">
      <c r="A19" s="138">
        <v>7.5</v>
      </c>
      <c r="B19" s="130">
        <v>0.94783300000000004</v>
      </c>
      <c r="C19" s="130">
        <f t="shared" si="0"/>
        <v>0.99944691562985222</v>
      </c>
      <c r="D19" s="130">
        <f t="shared" si="1"/>
        <v>0</v>
      </c>
      <c r="E19" s="131">
        <f t="shared" si="2"/>
        <v>0.94783300000000004</v>
      </c>
      <c r="F19" s="132">
        <f t="shared" si="3"/>
        <v>7.1435936776963584E-3</v>
      </c>
      <c r="G19" s="132"/>
      <c r="H19" s="132">
        <f t="shared" si="4"/>
        <v>6.7438149114444172E-3</v>
      </c>
      <c r="I19" s="132">
        <f t="shared" si="5"/>
        <v>7.5433724439482996E-3</v>
      </c>
    </row>
    <row r="20" spans="1:9" x14ac:dyDescent="0.35">
      <c r="A20" s="138">
        <v>8</v>
      </c>
      <c r="B20" s="130">
        <v>0.94008000000000003</v>
      </c>
      <c r="C20" s="130">
        <f t="shared" si="0"/>
        <v>0.99966453737209748</v>
      </c>
      <c r="D20" s="130">
        <f t="shared" si="1"/>
        <v>0</v>
      </c>
      <c r="E20" s="131">
        <f t="shared" si="2"/>
        <v>0.94008000000000003</v>
      </c>
      <c r="F20" s="132">
        <f t="shared" si="3"/>
        <v>7.7237876195564333E-3</v>
      </c>
      <c r="G20" s="132"/>
      <c r="H20" s="132">
        <f t="shared" si="4"/>
        <v>7.3489134180418966E-3</v>
      </c>
      <c r="I20" s="132">
        <f t="shared" si="5"/>
        <v>8.0986618210709699E-3</v>
      </c>
    </row>
    <row r="21" spans="1:9" x14ac:dyDescent="0.35">
      <c r="A21" s="138">
        <v>8.5</v>
      </c>
      <c r="B21" s="130">
        <v>0.93139000000000005</v>
      </c>
      <c r="C21" s="130">
        <f t="shared" si="0"/>
        <v>0.99979653163098936</v>
      </c>
      <c r="D21" s="130">
        <f t="shared" si="1"/>
        <v>0</v>
      </c>
      <c r="E21" s="131">
        <f t="shared" si="2"/>
        <v>0.93139000000000005</v>
      </c>
      <c r="F21" s="132">
        <f t="shared" si="3"/>
        <v>8.3620217667243948E-3</v>
      </c>
      <c r="G21" s="132"/>
      <c r="H21" s="132">
        <f t="shared" si="4"/>
        <v>8.0091524026193392E-3</v>
      </c>
      <c r="I21" s="132">
        <f t="shared" si="5"/>
        <v>8.7148911308294504E-3</v>
      </c>
    </row>
    <row r="22" spans="1:9" x14ac:dyDescent="0.35">
      <c r="A22" s="138">
        <v>9</v>
      </c>
      <c r="B22" s="130">
        <v>0.922265</v>
      </c>
      <c r="C22" s="130">
        <f t="shared" si="0"/>
        <v>0.99987659019591335</v>
      </c>
      <c r="D22" s="130">
        <f t="shared" si="1"/>
        <v>0</v>
      </c>
      <c r="E22" s="131">
        <f t="shared" si="2"/>
        <v>0.922265</v>
      </c>
      <c r="F22" s="132">
        <f t="shared" si="3"/>
        <v>8.9914086741416065E-3</v>
      </c>
      <c r="G22" s="132"/>
      <c r="H22" s="132">
        <f t="shared" si="4"/>
        <v>8.6581164774096366E-3</v>
      </c>
      <c r="I22" s="132">
        <f t="shared" si="5"/>
        <v>9.3247008708735781E-3</v>
      </c>
    </row>
    <row r="23" spans="1:9" x14ac:dyDescent="0.35">
      <c r="A23" s="138">
        <v>9.5</v>
      </c>
      <c r="B23" s="130">
        <v>0.91266599999999998</v>
      </c>
      <c r="C23" s="130">
        <f t="shared" si="0"/>
        <v>0.99992514817011235</v>
      </c>
      <c r="D23" s="130">
        <f t="shared" si="1"/>
        <v>0</v>
      </c>
      <c r="E23" s="131">
        <f t="shared" si="2"/>
        <v>0.91266599999999998</v>
      </c>
      <c r="F23" s="132">
        <f t="shared" si="3"/>
        <v>9.6195044486641346E-3</v>
      </c>
      <c r="G23" s="132"/>
      <c r="H23" s="132">
        <f t="shared" si="4"/>
        <v>9.3037386123998884E-3</v>
      </c>
      <c r="I23" s="132">
        <f t="shared" si="5"/>
        <v>9.9352702849283808E-3</v>
      </c>
    </row>
    <row r="24" spans="1:9" x14ac:dyDescent="0.35">
      <c r="A24" s="139">
        <v>10</v>
      </c>
      <c r="B24" s="130">
        <v>0.90279900000000002</v>
      </c>
      <c r="C24" s="130">
        <f t="shared" si="0"/>
        <v>0.99995460007023751</v>
      </c>
      <c r="D24" s="130">
        <f t="shared" si="1"/>
        <v>0</v>
      </c>
      <c r="E24" s="131">
        <f t="shared" si="2"/>
        <v>0.90279900000000002</v>
      </c>
      <c r="F24" s="132">
        <f t="shared" si="3"/>
        <v>1.0225534170441196E-2</v>
      </c>
      <c r="G24" s="132"/>
      <c r="H24" s="132">
        <f t="shared" si="4"/>
        <v>9.925547790420125E-3</v>
      </c>
      <c r="I24" s="132">
        <f t="shared" si="5"/>
        <v>1.0525520550462266E-2</v>
      </c>
    </row>
    <row r="25" spans="1:9" x14ac:dyDescent="0.35">
      <c r="A25" s="144" t="s">
        <v>252</v>
      </c>
      <c r="B25" s="144"/>
      <c r="C25" s="145" t="s">
        <v>251</v>
      </c>
      <c r="D25" s="144" t="s">
        <v>250</v>
      </c>
      <c r="E25" s="146"/>
      <c r="F25" s="144"/>
      <c r="G25" s="146"/>
      <c r="H25" s="146"/>
    </row>
  </sheetData>
  <mergeCells count="2">
    <mergeCell ref="H1:I1"/>
    <mergeCell ref="H3:I3"/>
  </mergeCells>
  <phoneticPr fontId="3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F0D1-03DB-4DA7-B524-8847AD38EFB7}">
  <sheetPr codeName="Sheet26"/>
  <dimension ref="A1:N14"/>
  <sheetViews>
    <sheetView workbookViewId="0">
      <selection activeCell="H5" sqref="H5"/>
    </sheetView>
  </sheetViews>
  <sheetFormatPr defaultColWidth="9.1796875" defaultRowHeight="12.5" x14ac:dyDescent="0.25"/>
  <cols>
    <col min="1" max="1" width="10.1796875" style="82" bestFit="1" customWidth="1"/>
    <col min="2" max="2" width="6.26953125" style="82" customWidth="1"/>
    <col min="3" max="3" width="10.1796875" style="82" bestFit="1" customWidth="1"/>
    <col min="4" max="4" width="5.1796875" style="82" customWidth="1"/>
    <col min="5" max="5" width="9" style="82" customWidth="1"/>
    <col min="6" max="6" width="7.54296875" style="82" customWidth="1"/>
    <col min="7" max="7" width="8.54296875" style="82" customWidth="1"/>
    <col min="8" max="8" width="7.1796875" style="82" customWidth="1"/>
    <col min="9" max="10" width="7.453125" style="82" customWidth="1"/>
    <col min="11" max="11" width="8.1796875" style="82" customWidth="1"/>
    <col min="12" max="12" width="7.81640625" style="82" customWidth="1"/>
    <col min="13" max="16384" width="9.1796875" style="82"/>
  </cols>
  <sheetData>
    <row r="1" spans="1:14" x14ac:dyDescent="0.25">
      <c r="A1" s="121" t="s">
        <v>236</v>
      </c>
      <c r="B1" s="120" t="s">
        <v>235</v>
      </c>
      <c r="D1" s="117"/>
      <c r="F1" s="112" t="s">
        <v>234</v>
      </c>
      <c r="G1" s="304">
        <v>1.627E-3</v>
      </c>
    </row>
    <row r="2" spans="1:14" x14ac:dyDescent="0.25">
      <c r="A2" s="118">
        <v>10000000</v>
      </c>
      <c r="B2" s="117">
        <v>0</v>
      </c>
      <c r="F2" s="369" t="s">
        <v>405</v>
      </c>
      <c r="G2" s="370"/>
      <c r="H2" s="370"/>
      <c r="I2" s="370"/>
      <c r="J2" s="370"/>
      <c r="K2" s="370"/>
      <c r="L2" s="371"/>
    </row>
    <row r="3" spans="1:14" s="112" customFormat="1" x14ac:dyDescent="0.25">
      <c r="A3" s="112" t="s">
        <v>233</v>
      </c>
      <c r="B3" s="116" t="s">
        <v>232</v>
      </c>
      <c r="D3" s="116" t="s">
        <v>231</v>
      </c>
      <c r="E3" s="112" t="s">
        <v>230</v>
      </c>
    </row>
    <row r="4" spans="1:14" s="112" customFormat="1" x14ac:dyDescent="0.25">
      <c r="A4" s="115">
        <v>44792</v>
      </c>
      <c r="B4" s="114" t="s">
        <v>229</v>
      </c>
      <c r="C4" s="113" t="s">
        <v>228</v>
      </c>
      <c r="D4" s="113" t="s">
        <v>227</v>
      </c>
      <c r="E4" s="113" t="s">
        <v>226</v>
      </c>
      <c r="F4" s="113" t="s">
        <v>225</v>
      </c>
      <c r="G4" s="113" t="s">
        <v>224</v>
      </c>
      <c r="H4" s="113" t="s">
        <v>220</v>
      </c>
      <c r="I4" s="113" t="s">
        <v>218</v>
      </c>
      <c r="J4" s="113" t="s">
        <v>217</v>
      </c>
      <c r="K4" s="113" t="s">
        <v>395</v>
      </c>
      <c r="L4" s="113" t="s">
        <v>396</v>
      </c>
    </row>
    <row r="5" spans="1:14" x14ac:dyDescent="0.25">
      <c r="A5" s="106">
        <v>44978</v>
      </c>
      <c r="B5" s="105">
        <f>(A5-$A$4)/365</f>
        <v>0.50958904109589043</v>
      </c>
      <c r="C5" s="111">
        <v>45161</v>
      </c>
      <c r="D5" s="110">
        <v>180</v>
      </c>
      <c r="E5" s="295">
        <v>0.999309</v>
      </c>
      <c r="F5" s="108">
        <f>BB(B5,B6)</f>
        <v>0.49222002509718238</v>
      </c>
      <c r="G5" s="108">
        <f>BB(0,2*B5)</f>
        <v>1.0037548130169958</v>
      </c>
      <c r="H5" s="108">
        <f>(0.5*$G$1^2*G5*F5^2)^0.5</f>
        <v>5.6734293845364788E-4</v>
      </c>
      <c r="I5" s="108">
        <f>LN((1+$B$2*D5/365)*E6/E5)/H5+H5/2</f>
        <v>-1.4678267717976055</v>
      </c>
      <c r="J5" s="108">
        <f>I5-H5</f>
        <v>-1.4683941147360591</v>
      </c>
      <c r="K5" s="303">
        <f>((1+$B$2*D5/365)*E6*NORMSDIST(I5)-(E5*NORMSDIST(J5)))*$A$2</f>
        <v>178.53873848922009</v>
      </c>
      <c r="L5" s="303">
        <f>K5</f>
        <v>178.53873848922009</v>
      </c>
      <c r="N5" s="296"/>
    </row>
    <row r="6" spans="1:14" x14ac:dyDescent="0.25">
      <c r="A6" s="106">
        <v>45159</v>
      </c>
      <c r="B6" s="105">
        <f>(A6-$A$4)/365</f>
        <v>1.0054794520547945</v>
      </c>
      <c r="C6" s="111"/>
      <c r="D6" s="110"/>
      <c r="E6" s="295">
        <v>0.99847699999999995</v>
      </c>
      <c r="F6" s="108"/>
      <c r="G6" s="108"/>
      <c r="H6" s="108"/>
      <c r="I6" s="108"/>
      <c r="J6" s="108"/>
      <c r="K6" s="107"/>
      <c r="L6" s="107"/>
    </row>
    <row r="7" spans="1:14" x14ac:dyDescent="0.25">
      <c r="A7" s="106"/>
      <c r="B7" s="105"/>
      <c r="C7" s="372" t="s">
        <v>223</v>
      </c>
      <c r="D7" s="372"/>
      <c r="E7" s="372"/>
      <c r="F7" s="372"/>
      <c r="G7" s="372"/>
      <c r="H7" s="372"/>
      <c r="I7" s="372"/>
      <c r="J7" s="372"/>
      <c r="K7" s="372"/>
      <c r="L7" s="372"/>
    </row>
    <row r="8" spans="1:14" x14ac:dyDescent="0.25">
      <c r="C8" s="82" t="s">
        <v>222</v>
      </c>
      <c r="D8" s="102" t="s">
        <v>409</v>
      </c>
    </row>
    <row r="9" spans="1:14" x14ac:dyDescent="0.25">
      <c r="C9" s="82" t="s">
        <v>221</v>
      </c>
      <c r="D9" s="102" t="s">
        <v>410</v>
      </c>
    </row>
    <row r="10" spans="1:14" x14ac:dyDescent="0.25">
      <c r="C10" s="82" t="s">
        <v>220</v>
      </c>
      <c r="D10" s="102" t="s">
        <v>219</v>
      </c>
    </row>
    <row r="11" spans="1:14" x14ac:dyDescent="0.25">
      <c r="C11" s="82" t="s">
        <v>218</v>
      </c>
      <c r="D11" s="102" t="s">
        <v>408</v>
      </c>
    </row>
    <row r="12" spans="1:14" x14ac:dyDescent="0.25">
      <c r="C12" s="82" t="s">
        <v>217</v>
      </c>
      <c r="D12" s="104" t="s">
        <v>216</v>
      </c>
    </row>
    <row r="13" spans="1:14" x14ac:dyDescent="0.25">
      <c r="C13" s="82" t="s">
        <v>403</v>
      </c>
      <c r="D13" s="102" t="s">
        <v>407</v>
      </c>
    </row>
    <row r="14" spans="1:14" x14ac:dyDescent="0.25">
      <c r="C14" s="103" t="s">
        <v>406</v>
      </c>
      <c r="D14" s="102" t="s">
        <v>215</v>
      </c>
    </row>
  </sheetData>
  <mergeCells count="2">
    <mergeCell ref="F2:L2"/>
    <mergeCell ref="C7:L7"/>
  </mergeCells>
  <phoneticPr fontId="3"/>
  <pageMargins left="0.75" right="0.75" top="1" bottom="1" header="0.51200000000000001" footer="0.51200000000000001"/>
  <pageSetup paperSize="9" orientation="portrait" horizontalDpi="4294967293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F06CC-561E-4683-9529-9D1CF0C56861}">
  <sheetPr codeName="Sheet14"/>
  <dimension ref="A1:U19"/>
  <sheetViews>
    <sheetView workbookViewId="0">
      <selection activeCell="S15" sqref="S15"/>
    </sheetView>
  </sheetViews>
  <sheetFormatPr defaultColWidth="9.1796875" defaultRowHeight="12.5" x14ac:dyDescent="0.25"/>
  <cols>
    <col min="1" max="1" width="11.7265625" style="82" customWidth="1"/>
    <col min="2" max="2" width="6.26953125" style="82" customWidth="1"/>
    <col min="3" max="3" width="10.1796875" style="82" customWidth="1"/>
    <col min="4" max="4" width="5.453125" style="82" customWidth="1"/>
    <col min="5" max="5" width="9.54296875" style="82" customWidth="1"/>
    <col min="6" max="7" width="7.54296875" style="82" customWidth="1"/>
    <col min="8" max="8" width="7.1796875" style="82" customWidth="1"/>
    <col min="9" max="10" width="7.453125" style="82" customWidth="1"/>
    <col min="11" max="11" width="8" style="82" customWidth="1"/>
    <col min="12" max="12" width="7.81640625" style="82" customWidth="1"/>
    <col min="13" max="13" width="0.54296875" style="82" customWidth="1"/>
    <col min="14" max="14" width="8.81640625" style="82" customWidth="1"/>
    <col min="15" max="15" width="7.90625" style="82" customWidth="1"/>
    <col min="16" max="16" width="9.453125" style="82" customWidth="1"/>
    <col min="17" max="17" width="7.26953125" style="82" customWidth="1"/>
    <col min="18" max="18" width="9.81640625" style="82" customWidth="1"/>
    <col min="19" max="19" width="7" style="82" customWidth="1"/>
    <col min="20" max="20" width="8.1796875" style="82" customWidth="1"/>
    <col min="21" max="16384" width="9.1796875" style="82"/>
  </cols>
  <sheetData>
    <row r="1" spans="1:20" x14ac:dyDescent="0.25">
      <c r="A1" s="121" t="s">
        <v>236</v>
      </c>
      <c r="B1" s="120" t="s">
        <v>240</v>
      </c>
      <c r="D1" s="117"/>
      <c r="F1" s="112" t="s">
        <v>234</v>
      </c>
      <c r="G1" s="119">
        <v>1.8840139841073298E-3</v>
      </c>
    </row>
    <row r="2" spans="1:20" x14ac:dyDescent="0.25">
      <c r="A2" s="118">
        <v>10000000</v>
      </c>
      <c r="B2" s="117">
        <v>0</v>
      </c>
      <c r="F2" s="369" t="s">
        <v>397</v>
      </c>
      <c r="G2" s="370"/>
      <c r="H2" s="370"/>
      <c r="I2" s="370"/>
      <c r="J2" s="370"/>
      <c r="K2" s="370"/>
      <c r="L2" s="371"/>
      <c r="N2" s="369" t="s">
        <v>401</v>
      </c>
      <c r="O2" s="370"/>
      <c r="P2" s="370"/>
      <c r="Q2" s="370"/>
      <c r="R2" s="370"/>
      <c r="S2" s="370"/>
      <c r="T2" s="371"/>
    </row>
    <row r="3" spans="1:20" s="112" customFormat="1" x14ac:dyDescent="0.25">
      <c r="A3" s="112" t="s">
        <v>233</v>
      </c>
      <c r="B3" s="116" t="s">
        <v>232</v>
      </c>
      <c r="D3" s="116" t="s">
        <v>231</v>
      </c>
      <c r="E3" s="112" t="s">
        <v>230</v>
      </c>
      <c r="N3" s="116" t="s">
        <v>239</v>
      </c>
      <c r="O3" s="116"/>
    </row>
    <row r="4" spans="1:20" s="112" customFormat="1" x14ac:dyDescent="0.25">
      <c r="A4" s="115">
        <v>44796</v>
      </c>
      <c r="B4" s="114" t="s">
        <v>229</v>
      </c>
      <c r="C4" s="113" t="s">
        <v>228</v>
      </c>
      <c r="D4" s="113" t="s">
        <v>227</v>
      </c>
      <c r="E4" s="113" t="s">
        <v>226</v>
      </c>
      <c r="F4" s="113" t="s">
        <v>225</v>
      </c>
      <c r="G4" s="113" t="s">
        <v>224</v>
      </c>
      <c r="H4" s="113" t="s">
        <v>220</v>
      </c>
      <c r="I4" s="113" t="s">
        <v>218</v>
      </c>
      <c r="J4" s="113" t="s">
        <v>217</v>
      </c>
      <c r="K4" s="113" t="s">
        <v>395</v>
      </c>
      <c r="L4" s="113" t="s">
        <v>396</v>
      </c>
      <c r="M4" s="113"/>
      <c r="N4" s="121" t="s">
        <v>238</v>
      </c>
      <c r="O4" s="121" t="s">
        <v>398</v>
      </c>
      <c r="P4" s="113" t="s">
        <v>400</v>
      </c>
      <c r="Q4" s="113" t="s">
        <v>399</v>
      </c>
      <c r="R4" s="113" t="s">
        <v>402</v>
      </c>
      <c r="S4" s="113" t="s">
        <v>403</v>
      </c>
      <c r="T4" s="113" t="s">
        <v>404</v>
      </c>
    </row>
    <row r="5" spans="1:20" x14ac:dyDescent="0.25">
      <c r="A5" s="106">
        <v>44978</v>
      </c>
      <c r="B5" s="105">
        <f t="shared" ref="B5:B8" si="0">(A5-$A$4)/365</f>
        <v>0.49863013698630138</v>
      </c>
      <c r="C5" s="111">
        <v>45161</v>
      </c>
      <c r="D5" s="110">
        <v>180</v>
      </c>
      <c r="E5" s="295">
        <v>0.999309</v>
      </c>
      <c r="F5" s="108">
        <f>B_(B5,B6)</f>
        <v>0.49222002509718238</v>
      </c>
      <c r="G5" s="108">
        <f>B_(0,2*B5)</f>
        <v>0.98249001756306842</v>
      </c>
      <c r="H5" s="108">
        <f>(0.5*$G$1^2*G5*F5^2)^0.5</f>
        <v>6.4996874859615079E-4</v>
      </c>
      <c r="I5" s="108">
        <f>LN((1+$B$2*D5/360)*E6/E5)/H5+H5/2</f>
        <v>-1.2811552324153508</v>
      </c>
      <c r="J5" s="108">
        <f>I5-H5</f>
        <v>-1.2818052011639469</v>
      </c>
      <c r="K5" s="107">
        <f>((1+$B$2*D5/365)*E6*NORMSDIST(I5)-(E5*NORMSDIST(J5)))*$A$2</f>
        <v>307.42149130333354</v>
      </c>
      <c r="L5" s="107">
        <f>K5</f>
        <v>307.42149130333354</v>
      </c>
      <c r="M5" s="109"/>
      <c r="N5" s="302">
        <v>1.6956E-3</v>
      </c>
      <c r="O5" s="297">
        <v>1.627E-3</v>
      </c>
      <c r="P5" s="300">
        <f>O5*B5^0.5</f>
        <v>1.1488856757268806E-3</v>
      </c>
      <c r="Q5" s="123">
        <f>(N5-$B$2)/P5</f>
        <v>1.4758648626437287</v>
      </c>
      <c r="R5" s="300">
        <f>P5*(-Q5*NORMSDIST(-Q5)+NORMDIST(Q5,0,1,FALSE))</f>
        <v>3.5566484179928035E-5</v>
      </c>
      <c r="S5" s="122">
        <f>($A$2*D5/365)*E5*R5</f>
        <v>175.27516145437664</v>
      </c>
      <c r="T5" s="122">
        <f>S5</f>
        <v>175.27516145437664</v>
      </c>
    </row>
    <row r="6" spans="1:20" x14ac:dyDescent="0.25">
      <c r="A6" s="106">
        <v>45159</v>
      </c>
      <c r="B6" s="105">
        <f t="shared" si="0"/>
        <v>0.9945205479452055</v>
      </c>
      <c r="C6" s="111">
        <v>45348</v>
      </c>
      <c r="D6" s="110">
        <v>187</v>
      </c>
      <c r="E6" s="295">
        <v>0.99847699999999995</v>
      </c>
      <c r="F6" s="108">
        <f t="shared" ref="F6:F7" si="1">B_(B6,B7)</f>
        <v>0.50031683558018725</v>
      </c>
      <c r="G6" s="108">
        <f t="shared" ref="G6:G7" si="2">B_(0,2*B6)</f>
        <v>1.9308598099004648</v>
      </c>
      <c r="H6" s="108">
        <f t="shared" ref="H6:H7" si="3">(0.5*$G$1^2*G6*F6^2)^0.5</f>
        <v>9.2616766117557998E-4</v>
      </c>
      <c r="I6" s="108">
        <f t="shared" ref="I6:I7" si="4">LN((1+$B$2*D6/360)*E7/E6)/H6+H6/2</f>
        <v>-1.4138068509212482</v>
      </c>
      <c r="J6" s="108">
        <f t="shared" ref="J6:J7" si="5">I6-H6</f>
        <v>-1.4147330185824238</v>
      </c>
      <c r="K6" s="107">
        <f t="shared" ref="K6:K7" si="6">((1+$B$2*D6/365)*E7*NORMSDIST(I6)-(E6*NORMSDIST(J6)))*$A$2</f>
        <v>328.35931917565841</v>
      </c>
      <c r="L6" s="107">
        <f>K6+L5</f>
        <v>635.78081047899195</v>
      </c>
      <c r="M6" s="109"/>
      <c r="N6" s="302">
        <v>2.5571000000000001E-3</v>
      </c>
      <c r="O6" s="298">
        <v>1.8860000000000001E-3</v>
      </c>
      <c r="P6" s="299">
        <f t="shared" ref="P6:P7" si="7">O6*B6^0.5</f>
        <v>1.8808257790021128E-3</v>
      </c>
      <c r="Q6" s="123">
        <f t="shared" ref="Q6:Q7" si="8">(N6-$B$2)/P6</f>
        <v>1.359562394639598</v>
      </c>
      <c r="R6" s="300">
        <f t="shared" ref="R6:R7" si="9">P6*(-Q6*NORMSDIST(-Q6)+NORMDIST(Q6,0,1,FALSE))</f>
        <v>7.5343043910908397E-5</v>
      </c>
      <c r="S6" s="122">
        <f t="shared" ref="S6:S7" si="10">($A$2*D6/365)*E6*R6</f>
        <v>385.41620375591776</v>
      </c>
      <c r="T6" s="122">
        <f>T5+S6</f>
        <v>560.69136521029441</v>
      </c>
    </row>
    <row r="7" spans="1:20" x14ac:dyDescent="0.25">
      <c r="A7" s="106">
        <v>45343</v>
      </c>
      <c r="B7" s="105">
        <f t="shared" si="0"/>
        <v>1.4986301369863013</v>
      </c>
      <c r="C7" s="111">
        <v>45527</v>
      </c>
      <c r="D7" s="110">
        <v>179</v>
      </c>
      <c r="E7" s="295">
        <v>0.99717</v>
      </c>
      <c r="F7" s="108">
        <f t="shared" si="1"/>
        <v>0.49491918375831334</v>
      </c>
      <c r="G7" s="108">
        <f t="shared" si="2"/>
        <v>2.8664564669998378</v>
      </c>
      <c r="H7" s="108">
        <f t="shared" si="3"/>
        <v>1.1162875663982129E-3</v>
      </c>
      <c r="I7" s="108">
        <f t="shared" si="4"/>
        <v>-1.1455951046456518</v>
      </c>
      <c r="J7" s="108">
        <f t="shared" si="5"/>
        <v>-1.14671139221205</v>
      </c>
      <c r="K7" s="107">
        <f t="shared" si="6"/>
        <v>696.21909460748645</v>
      </c>
      <c r="L7" s="301">
        <f>K7+L6</f>
        <v>1331.9999050864785</v>
      </c>
      <c r="M7" s="109"/>
      <c r="N7" s="302">
        <v>2.6142000000000001E-3</v>
      </c>
      <c r="O7" s="298">
        <v>1.921E-3</v>
      </c>
      <c r="P7" s="299">
        <f t="shared" si="7"/>
        <v>2.3516603443827651E-3</v>
      </c>
      <c r="Q7" s="123">
        <f t="shared" si="8"/>
        <v>1.1116401253456281</v>
      </c>
      <c r="R7" s="300">
        <f t="shared" si="9"/>
        <v>1.57690668469279E-4</v>
      </c>
      <c r="S7" s="122">
        <f t="shared" si="10"/>
        <v>771.14378887875228</v>
      </c>
      <c r="T7" s="122">
        <f>T6+S7</f>
        <v>1331.8351540890467</v>
      </c>
    </row>
    <row r="8" spans="1:20" x14ac:dyDescent="0.25">
      <c r="A8" s="106">
        <v>45525</v>
      </c>
      <c r="B8" s="105">
        <f t="shared" si="0"/>
        <v>1.9972602739726026</v>
      </c>
      <c r="C8" s="111"/>
      <c r="D8" s="110"/>
      <c r="E8" s="295">
        <v>0.99589499999999997</v>
      </c>
      <c r="F8" s="108"/>
      <c r="G8" s="108"/>
      <c r="H8" s="108"/>
      <c r="I8" s="108"/>
      <c r="J8" s="108"/>
      <c r="K8" s="107"/>
      <c r="L8" s="107"/>
      <c r="M8" s="109"/>
      <c r="N8" s="125"/>
      <c r="O8" s="124"/>
      <c r="P8" s="123"/>
      <c r="Q8" s="123"/>
      <c r="R8" s="123"/>
      <c r="S8" s="122"/>
      <c r="T8" s="122"/>
    </row>
    <row r="9" spans="1:20" x14ac:dyDescent="0.25">
      <c r="A9" s="106"/>
      <c r="B9" s="105"/>
      <c r="C9" s="111"/>
      <c r="D9" s="110"/>
      <c r="E9" s="295"/>
      <c r="F9" s="108"/>
      <c r="G9" s="108"/>
      <c r="H9" s="108"/>
      <c r="I9" s="108"/>
      <c r="J9" s="108"/>
      <c r="K9" s="107"/>
      <c r="L9" s="107"/>
      <c r="M9" s="109"/>
      <c r="N9" s="125"/>
      <c r="O9" s="124"/>
      <c r="P9" s="123"/>
      <c r="Q9" s="123"/>
      <c r="R9" s="123"/>
      <c r="S9" s="122"/>
      <c r="T9" s="122"/>
    </row>
    <row r="10" spans="1:20" x14ac:dyDescent="0.25">
      <c r="A10" s="106"/>
      <c r="B10" s="105"/>
      <c r="C10" s="111"/>
      <c r="E10" s="295"/>
      <c r="M10" s="109"/>
    </row>
    <row r="19" spans="21:21" x14ac:dyDescent="0.25">
      <c r="U19" s="82" t="s">
        <v>237</v>
      </c>
    </row>
  </sheetData>
  <mergeCells count="2">
    <mergeCell ref="F2:L2"/>
    <mergeCell ref="N2:T2"/>
  </mergeCells>
  <phoneticPr fontId="3"/>
  <pageMargins left="0.75" right="0.75" top="1" bottom="1" header="0.51200000000000001" footer="0.51200000000000001"/>
  <pageSetup paperSize="9" orientation="portrait" horizont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DC6BE-7D6C-4961-8909-C11230069873}">
  <sheetPr codeName="Sheet16"/>
  <dimension ref="A1:V19"/>
  <sheetViews>
    <sheetView workbookViewId="0">
      <selection activeCell="T9" sqref="T9"/>
    </sheetView>
  </sheetViews>
  <sheetFormatPr defaultColWidth="9.1796875" defaultRowHeight="12.5" x14ac:dyDescent="0.25"/>
  <cols>
    <col min="1" max="1" width="11.7265625" style="82" customWidth="1"/>
    <col min="2" max="2" width="6.26953125" style="82" customWidth="1"/>
    <col min="3" max="3" width="10.1796875" style="82" customWidth="1"/>
    <col min="4" max="4" width="5.453125" style="82" customWidth="1"/>
    <col min="5" max="5" width="9.54296875" style="82" customWidth="1"/>
    <col min="6" max="7" width="7.54296875" style="82" customWidth="1"/>
    <col min="8" max="8" width="7.1796875" style="82" customWidth="1"/>
    <col min="9" max="10" width="7.453125" style="82" customWidth="1"/>
    <col min="11" max="11" width="8" style="82" customWidth="1"/>
    <col min="12" max="12" width="7.81640625" style="82" customWidth="1"/>
    <col min="13" max="13" width="0.54296875" style="82" customWidth="1"/>
    <col min="14" max="14" width="8.81640625" style="82" customWidth="1"/>
    <col min="15" max="15" width="7.90625" style="82" customWidth="1"/>
    <col min="16" max="16" width="9.453125" style="82" customWidth="1"/>
    <col min="17" max="17" width="7.26953125" style="82" customWidth="1"/>
    <col min="18" max="18" width="9.81640625" style="82" customWidth="1"/>
    <col min="19" max="19" width="7" style="82" customWidth="1"/>
    <col min="20" max="20" width="8.1796875" style="82" customWidth="1"/>
    <col min="21" max="16384" width="9.1796875" style="82"/>
  </cols>
  <sheetData>
    <row r="1" spans="1:22" x14ac:dyDescent="0.25">
      <c r="A1" s="121" t="s">
        <v>236</v>
      </c>
      <c r="B1" s="120" t="s">
        <v>240</v>
      </c>
      <c r="D1" s="117"/>
      <c r="F1" s="112" t="s">
        <v>234</v>
      </c>
      <c r="G1" s="119">
        <v>1.7547451358417387E-3</v>
      </c>
    </row>
    <row r="2" spans="1:22" x14ac:dyDescent="0.25">
      <c r="A2" s="118">
        <v>10000000</v>
      </c>
      <c r="B2" s="117">
        <v>0</v>
      </c>
      <c r="F2" s="369" t="s">
        <v>397</v>
      </c>
      <c r="G2" s="370"/>
      <c r="H2" s="370"/>
      <c r="I2" s="370"/>
      <c r="J2" s="370"/>
      <c r="K2" s="370"/>
      <c r="L2" s="371"/>
      <c r="N2" s="369" t="s">
        <v>401</v>
      </c>
      <c r="O2" s="370"/>
      <c r="P2" s="370"/>
      <c r="Q2" s="370"/>
      <c r="R2" s="370"/>
      <c r="S2" s="370"/>
      <c r="T2" s="371"/>
    </row>
    <row r="3" spans="1:22" s="112" customFormat="1" x14ac:dyDescent="0.25">
      <c r="A3" s="112" t="s">
        <v>233</v>
      </c>
      <c r="B3" s="116" t="s">
        <v>232</v>
      </c>
      <c r="D3" s="116" t="s">
        <v>231</v>
      </c>
      <c r="E3" s="112" t="s">
        <v>230</v>
      </c>
      <c r="N3" s="116" t="s">
        <v>239</v>
      </c>
      <c r="O3" s="116"/>
      <c r="U3" s="112" t="s">
        <v>412</v>
      </c>
    </row>
    <row r="4" spans="1:22" s="112" customFormat="1" x14ac:dyDescent="0.25">
      <c r="A4" s="115">
        <v>44796</v>
      </c>
      <c r="B4" s="114" t="s">
        <v>229</v>
      </c>
      <c r="C4" s="113" t="s">
        <v>228</v>
      </c>
      <c r="D4" s="113" t="s">
        <v>227</v>
      </c>
      <c r="E4" s="113" t="s">
        <v>226</v>
      </c>
      <c r="F4" s="113" t="s">
        <v>225</v>
      </c>
      <c r="G4" s="113" t="s">
        <v>224</v>
      </c>
      <c r="H4" s="113" t="s">
        <v>220</v>
      </c>
      <c r="I4" s="113" t="s">
        <v>218</v>
      </c>
      <c r="J4" s="113" t="s">
        <v>217</v>
      </c>
      <c r="K4" s="113" t="s">
        <v>395</v>
      </c>
      <c r="L4" s="113" t="s">
        <v>396</v>
      </c>
      <c r="M4" s="113"/>
      <c r="N4" s="121" t="s">
        <v>238</v>
      </c>
      <c r="O4" s="121" t="s">
        <v>398</v>
      </c>
      <c r="P4" s="113" t="s">
        <v>400</v>
      </c>
      <c r="Q4" s="113" t="s">
        <v>399</v>
      </c>
      <c r="R4" s="113" t="s">
        <v>402</v>
      </c>
      <c r="S4" s="113" t="s">
        <v>403</v>
      </c>
      <c r="T4" s="113" t="s">
        <v>404</v>
      </c>
      <c r="U4" s="113" t="s">
        <v>411</v>
      </c>
      <c r="V4" s="306" t="s">
        <v>413</v>
      </c>
    </row>
    <row r="5" spans="1:22" x14ac:dyDescent="0.25">
      <c r="A5" s="106">
        <v>44978</v>
      </c>
      <c r="B5" s="105">
        <f t="shared" ref="B5:B8" si="0">(A5-$A$4)/365</f>
        <v>0.49863013698630138</v>
      </c>
      <c r="C5" s="111">
        <v>45161</v>
      </c>
      <c r="D5" s="110">
        <v>180</v>
      </c>
      <c r="E5" s="295">
        <v>0.999309</v>
      </c>
      <c r="F5" s="108">
        <f>B_(B5,B6)</f>
        <v>0.49222002509718238</v>
      </c>
      <c r="G5" s="108">
        <f>B_(0,2*B5)</f>
        <v>0.98249001756306842</v>
      </c>
      <c r="H5" s="108">
        <f>(0.5*$G$1^2*G5*F5^2)^0.5</f>
        <v>6.0537209897018628E-4</v>
      </c>
      <c r="I5" s="108">
        <f>LN((1+$B$2*D5/360)*E6/E5)/H5+H5/2</f>
        <v>-1.3755818224608953</v>
      </c>
      <c r="J5" s="108">
        <f>I5-H5</f>
        <v>-1.3761871945598656</v>
      </c>
      <c r="K5" s="107">
        <f>((1+$B$2*D5/365)*E6*NORMSDIST(I5)-(E5*NORMSDIST(J5)))*$A$2</f>
        <v>233.7756832287985</v>
      </c>
      <c r="L5" s="107">
        <f>K5</f>
        <v>233.7756832287985</v>
      </c>
      <c r="M5" s="109"/>
      <c r="N5" s="302">
        <v>1.6956E-3</v>
      </c>
      <c r="O5" s="297">
        <v>1.627E-3</v>
      </c>
      <c r="P5" s="300">
        <f>O5*B5^0.5</f>
        <v>1.1488856757268806E-3</v>
      </c>
      <c r="Q5" s="123">
        <f>(N5-$B$2)/P5</f>
        <v>1.4758648626437287</v>
      </c>
      <c r="R5" s="300">
        <f>P5*(-Q5*NORMSDIST(-Q5)+NORMDIST(Q5,0,1,FALSE))</f>
        <v>3.5566484179928035E-5</v>
      </c>
      <c r="S5" s="122">
        <f>($A$2*D5/365)*E5*R5</f>
        <v>175.27516145437664</v>
      </c>
      <c r="T5" s="122">
        <f>S5</f>
        <v>175.27516145437664</v>
      </c>
      <c r="U5" s="305">
        <f>((K5-S5)/S5)^2</f>
        <v>0.1113983421401295</v>
      </c>
      <c r="V5" s="307" t="s">
        <v>414</v>
      </c>
    </row>
    <row r="6" spans="1:22" x14ac:dyDescent="0.25">
      <c r="A6" s="106">
        <v>45159</v>
      </c>
      <c r="B6" s="105">
        <f t="shared" si="0"/>
        <v>0.9945205479452055</v>
      </c>
      <c r="C6" s="111">
        <v>45348</v>
      </c>
      <c r="D6" s="110">
        <v>187</v>
      </c>
      <c r="E6" s="295">
        <v>0.99847699999999995</v>
      </c>
      <c r="F6" s="108">
        <f t="shared" ref="F6:F7" si="1">B_(B6,B7)</f>
        <v>0.50031683558018725</v>
      </c>
      <c r="G6" s="108">
        <f t="shared" ref="G6:G7" si="2">B_(0,2*B6)</f>
        <v>1.9308598099004648</v>
      </c>
      <c r="H6" s="108">
        <f t="shared" ref="H6:H7" si="3">(0.5*$G$1^2*G6*F6^2)^0.5</f>
        <v>8.6262002943242691E-4</v>
      </c>
      <c r="I6" s="108">
        <f t="shared" ref="I6:I7" si="4">LN((1+$B$2*D6/360)*E7/E6)/H6+H6/2</f>
        <v>-1.5180252908618983</v>
      </c>
      <c r="J6" s="108">
        <f t="shared" ref="J6:J7" si="5">I6-H6</f>
        <v>-1.5188879108913307</v>
      </c>
      <c r="K6" s="107">
        <f t="shared" ref="K6:K7" si="6">((1+$B$2*D6/365)*E7*NORMSDIST(I6)-(E6*NORMSDIST(J6)))*$A$2</f>
        <v>241.83085796991577</v>
      </c>
      <c r="L6" s="107">
        <f>K6+L5</f>
        <v>475.60654119871424</v>
      </c>
      <c r="M6" s="109"/>
      <c r="N6" s="302">
        <v>2.5571000000000001E-3</v>
      </c>
      <c r="O6" s="298">
        <v>1.8860000000000001E-3</v>
      </c>
      <c r="P6" s="299">
        <f t="shared" ref="P6:P7" si="7">O6*B6^0.5</f>
        <v>1.8808257790021128E-3</v>
      </c>
      <c r="Q6" s="123">
        <f t="shared" ref="Q6:Q7" si="8">(N6-$B$2)/P6</f>
        <v>1.359562394639598</v>
      </c>
      <c r="R6" s="300">
        <f t="shared" ref="R6:R7" si="9">P6*(-Q6*NORMSDIST(-Q6)+NORMDIST(Q6,0,1,FALSE))</f>
        <v>7.5343043910908397E-5</v>
      </c>
      <c r="S6" s="122">
        <f t="shared" ref="S6:S7" si="10">($A$2*D6/365)*E6*R6</f>
        <v>385.41620375591776</v>
      </c>
      <c r="T6" s="122">
        <f>T5+S6</f>
        <v>560.69136521029441</v>
      </c>
      <c r="U6" s="305">
        <f t="shared" ref="U6:U7" si="11">((K6-S6)/S6)^2</f>
        <v>0.13879067820673824</v>
      </c>
      <c r="V6" s="307" t="s">
        <v>415</v>
      </c>
    </row>
    <row r="7" spans="1:22" x14ac:dyDescent="0.25">
      <c r="A7" s="106">
        <v>45343</v>
      </c>
      <c r="B7" s="105">
        <f t="shared" si="0"/>
        <v>1.4986301369863013</v>
      </c>
      <c r="C7" s="111">
        <v>45527</v>
      </c>
      <c r="D7" s="110">
        <v>179</v>
      </c>
      <c r="E7" s="295">
        <v>0.99717</v>
      </c>
      <c r="F7" s="108">
        <f t="shared" si="1"/>
        <v>0.49491918375831334</v>
      </c>
      <c r="G7" s="108">
        <f t="shared" si="2"/>
        <v>2.8664564669998378</v>
      </c>
      <c r="H7" s="108">
        <f t="shared" si="3"/>
        <v>1.0396951370114065E-3</v>
      </c>
      <c r="I7" s="108">
        <f t="shared" si="4"/>
        <v>-1.230068403604599</v>
      </c>
      <c r="J7" s="108">
        <f t="shared" si="5"/>
        <v>-1.2311080987416103</v>
      </c>
      <c r="K7" s="107">
        <f t="shared" si="6"/>
        <v>545.7333733165093</v>
      </c>
      <c r="L7" s="107">
        <f>K7+L6</f>
        <v>1021.3399145152235</v>
      </c>
      <c r="M7" s="109"/>
      <c r="N7" s="302">
        <v>2.6142000000000001E-3</v>
      </c>
      <c r="O7" s="298">
        <v>1.921E-3</v>
      </c>
      <c r="P7" s="299">
        <f t="shared" si="7"/>
        <v>2.3516603443827651E-3</v>
      </c>
      <c r="Q7" s="123">
        <f t="shared" si="8"/>
        <v>1.1116401253456281</v>
      </c>
      <c r="R7" s="300">
        <f t="shared" si="9"/>
        <v>1.57690668469279E-4</v>
      </c>
      <c r="S7" s="122">
        <f t="shared" si="10"/>
        <v>771.14378887875228</v>
      </c>
      <c r="T7" s="122">
        <f>T6+S7</f>
        <v>1331.8351540890467</v>
      </c>
      <c r="U7" s="305">
        <f t="shared" si="11"/>
        <v>8.5443145768346052E-2</v>
      </c>
      <c r="V7" s="307" t="s">
        <v>416</v>
      </c>
    </row>
    <row r="8" spans="1:22" x14ac:dyDescent="0.25">
      <c r="A8" s="106">
        <v>45525</v>
      </c>
      <c r="B8" s="105">
        <f t="shared" si="0"/>
        <v>1.9972602739726026</v>
      </c>
      <c r="C8" s="111"/>
      <c r="D8" s="110"/>
      <c r="E8" s="295">
        <v>0.99589499999999997</v>
      </c>
      <c r="F8" s="108"/>
      <c r="G8" s="108"/>
      <c r="H8" s="108"/>
      <c r="I8" s="108"/>
      <c r="J8" s="108"/>
      <c r="K8" s="107"/>
      <c r="L8" s="107"/>
      <c r="M8" s="109"/>
      <c r="N8" s="125"/>
      <c r="O8" s="124"/>
      <c r="P8" s="123"/>
      <c r="Q8" s="123"/>
      <c r="R8" s="123"/>
      <c r="S8" s="122"/>
      <c r="T8" s="122"/>
      <c r="U8" s="309">
        <f>SQRT(SUM(U5:U7))</f>
        <v>0.57933769609374963</v>
      </c>
      <c r="V8" s="307" t="s">
        <v>417</v>
      </c>
    </row>
    <row r="9" spans="1:22" x14ac:dyDescent="0.25">
      <c r="A9" s="106"/>
      <c r="B9" s="105"/>
      <c r="C9" s="111"/>
      <c r="D9" s="110"/>
      <c r="E9" s="295"/>
      <c r="F9" s="108"/>
      <c r="G9" s="108"/>
      <c r="H9" s="108"/>
      <c r="I9" s="108"/>
      <c r="J9" s="108"/>
      <c r="K9" s="107"/>
      <c r="L9" s="107"/>
      <c r="M9" s="109"/>
      <c r="N9" s="125"/>
      <c r="O9" s="124"/>
      <c r="P9" s="123"/>
      <c r="Q9" s="123"/>
      <c r="R9" s="123"/>
      <c r="S9" s="122"/>
      <c r="T9" s="122"/>
      <c r="V9" s="308"/>
    </row>
    <row r="10" spans="1:22" x14ac:dyDescent="0.25">
      <c r="A10" s="106"/>
      <c r="B10" s="105"/>
      <c r="C10" s="111"/>
      <c r="E10" s="295"/>
      <c r="M10" s="109"/>
    </row>
    <row r="19" spans="21:21" x14ac:dyDescent="0.25">
      <c r="U19" s="82" t="s">
        <v>237</v>
      </c>
    </row>
  </sheetData>
  <mergeCells count="2">
    <mergeCell ref="F2:L2"/>
    <mergeCell ref="N2:T2"/>
  </mergeCells>
  <phoneticPr fontId="3"/>
  <pageMargins left="0.75" right="0.75" top="1" bottom="1" header="0.51200000000000001" footer="0.51200000000000001"/>
  <pageSetup paperSize="9" orientation="portrait" horizont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K16"/>
  <sheetViews>
    <sheetView workbookViewId="0">
      <selection activeCell="A3" sqref="A3"/>
    </sheetView>
  </sheetViews>
  <sheetFormatPr defaultColWidth="9.1796875" defaultRowHeight="12" x14ac:dyDescent="0.2"/>
  <cols>
    <col min="1" max="1" width="7.1796875" style="18" bestFit="1" customWidth="1"/>
    <col min="2" max="2" width="9" style="18" bestFit="1" customWidth="1"/>
    <col min="3" max="3" width="8.26953125" style="18" bestFit="1" customWidth="1"/>
    <col min="4" max="4" width="17" style="20" customWidth="1"/>
    <col min="5" max="5" width="9.26953125" style="18" bestFit="1" customWidth="1"/>
    <col min="6" max="6" width="8.1796875" style="18" customWidth="1"/>
    <col min="7" max="7" width="13.7265625" style="19" customWidth="1"/>
    <col min="8" max="8" width="8.1796875" style="18" customWidth="1"/>
    <col min="9" max="9" width="10.81640625" style="19" customWidth="1"/>
    <col min="10" max="16384" width="9.1796875" style="18"/>
  </cols>
  <sheetData>
    <row r="1" spans="1:11" x14ac:dyDescent="0.2">
      <c r="A1" s="48"/>
      <c r="B1" s="373" t="s">
        <v>29</v>
      </c>
      <c r="C1" s="373"/>
      <c r="K1" s="43" t="s">
        <v>293</v>
      </c>
    </row>
    <row r="2" spans="1:11" x14ac:dyDescent="0.2">
      <c r="A2" s="46" t="s">
        <v>28</v>
      </c>
      <c r="B2" s="46" t="s">
        <v>27</v>
      </c>
      <c r="C2" s="47" t="s">
        <v>26</v>
      </c>
      <c r="D2" s="44" t="s">
        <v>25</v>
      </c>
      <c r="E2" s="46" t="s">
        <v>24</v>
      </c>
      <c r="F2" s="45" t="s">
        <v>23</v>
      </c>
      <c r="G2" s="44" t="s">
        <v>22</v>
      </c>
      <c r="H2" s="45" t="s">
        <v>21</v>
      </c>
      <c r="I2" s="44" t="s">
        <v>20</v>
      </c>
      <c r="J2" s="43"/>
      <c r="K2" s="43">
        <v>0.01</v>
      </c>
    </row>
    <row r="3" spans="1:11" x14ac:dyDescent="0.2">
      <c r="A3" s="34">
        <v>0</v>
      </c>
      <c r="B3" s="32">
        <v>1</v>
      </c>
      <c r="C3" s="31">
        <f t="shared" ref="C3:C15" si="0">(-1/0.25)*LN(B4/B3)</f>
        <v>2.0005001667289714E-3</v>
      </c>
      <c r="D3" s="42" t="s">
        <v>19</v>
      </c>
      <c r="E3" s="29">
        <v>-0.67507065600497307</v>
      </c>
      <c r="F3" s="26">
        <v>0</v>
      </c>
      <c r="G3" s="25"/>
      <c r="H3" s="26">
        <f t="shared" ref="H3:H15" si="1">r_(C3,F3,A3)</f>
        <v>2.0005001667289714E-3</v>
      </c>
      <c r="I3" s="39" t="s">
        <v>18</v>
      </c>
      <c r="J3" s="24">
        <f t="shared" ref="J3:J15" si="2">1/(1+0.25*H3)</f>
        <v>0.99950012495834373</v>
      </c>
      <c r="K3" s="37"/>
    </row>
    <row r="4" spans="1:11" x14ac:dyDescent="0.2">
      <c r="A4" s="34">
        <v>0.25</v>
      </c>
      <c r="B4" s="32">
        <v>0.99950000000000006</v>
      </c>
      <c r="C4" s="31">
        <f t="shared" si="0"/>
        <v>4.8613821477565674E-3</v>
      </c>
      <c r="D4" s="42" t="s">
        <v>17</v>
      </c>
      <c r="E4" s="29">
        <v>-0.5430408511119118</v>
      </c>
      <c r="F4" s="41">
        <f>x_(F3,E3,A4,$A$15,$K$2)</f>
        <v>-3.4313348413337586E-3</v>
      </c>
      <c r="G4" s="38" t="s">
        <v>16</v>
      </c>
      <c r="H4" s="40">
        <f t="shared" si="1"/>
        <v>1.4331489711331314E-3</v>
      </c>
      <c r="I4" s="39" t="s">
        <v>15</v>
      </c>
      <c r="J4" s="24">
        <f t="shared" si="2"/>
        <v>0.99964184108098841</v>
      </c>
      <c r="K4" s="37"/>
    </row>
    <row r="5" spans="1:11" x14ac:dyDescent="0.2">
      <c r="A5" s="34">
        <v>0.5</v>
      </c>
      <c r="B5" s="32">
        <v>0.99828600000000001</v>
      </c>
      <c r="C5" s="31">
        <f t="shared" si="0"/>
        <v>3.3792165174211758E-3</v>
      </c>
      <c r="D5" s="30"/>
      <c r="E5" s="29">
        <v>1.2418480792648157</v>
      </c>
      <c r="F5" s="41">
        <f t="shared" ref="F5:F15" si="3">x_(F4,E4,A5,$A$15,$K$2)</f>
        <v>-6.1736161548951729E-3</v>
      </c>
      <c r="G5" s="38" t="s">
        <v>14</v>
      </c>
      <c r="H5" s="26">
        <f t="shared" si="1"/>
        <v>-2.7820855073416163E-3</v>
      </c>
      <c r="I5" s="25"/>
      <c r="J5" s="24">
        <f t="shared" si="2"/>
        <v>1.0006960054635137</v>
      </c>
      <c r="K5" s="37"/>
    </row>
    <row r="6" spans="1:11" x14ac:dyDescent="0.2">
      <c r="A6" s="34">
        <v>0.75</v>
      </c>
      <c r="B6" s="32">
        <v>0.99744299999999997</v>
      </c>
      <c r="C6" s="31">
        <f t="shared" si="0"/>
        <v>3.3339102406177322E-3</v>
      </c>
      <c r="E6" s="29">
        <v>1.8111783769925407</v>
      </c>
      <c r="F6" s="41">
        <f t="shared" si="3"/>
        <v>1.451801254543153E-6</v>
      </c>
      <c r="G6" s="27"/>
      <c r="H6" s="26">
        <f t="shared" si="1"/>
        <v>3.3628624555626743E-3</v>
      </c>
      <c r="I6" s="25"/>
      <c r="J6" s="24">
        <f t="shared" si="2"/>
        <v>0.99915999059513172</v>
      </c>
      <c r="K6" s="37"/>
    </row>
    <row r="7" spans="1:11" x14ac:dyDescent="0.2">
      <c r="A7" s="36">
        <v>1</v>
      </c>
      <c r="B7" s="32">
        <v>0.99661200000000005</v>
      </c>
      <c r="C7" s="31">
        <f t="shared" si="0"/>
        <v>3.4411332966454841E-3</v>
      </c>
      <c r="D7" s="30" t="s">
        <v>13</v>
      </c>
      <c r="E7" s="29">
        <v>-1.1783750715028232</v>
      </c>
      <c r="F7" s="41">
        <f t="shared" si="3"/>
        <v>8.9722100677704069E-3</v>
      </c>
      <c r="G7" s="30" t="s">
        <v>13</v>
      </c>
      <c r="H7" s="26">
        <f t="shared" si="1"/>
        <v>1.2461869280373244E-2</v>
      </c>
      <c r="I7" s="30" t="s">
        <v>13</v>
      </c>
      <c r="J7" s="24">
        <f t="shared" si="2"/>
        <v>0.9968942086712943</v>
      </c>
      <c r="K7" s="37"/>
    </row>
    <row r="8" spans="1:11" x14ac:dyDescent="0.2">
      <c r="A8" s="36">
        <v>1.25</v>
      </c>
      <c r="B8" s="32">
        <v>0.99575499999999995</v>
      </c>
      <c r="C8" s="31">
        <f t="shared" si="0"/>
        <v>3.5647133935636827E-3</v>
      </c>
      <c r="D8" s="30"/>
      <c r="E8" s="29">
        <v>-1.4371494454763298</v>
      </c>
      <c r="F8" s="41">
        <f t="shared" si="3"/>
        <v>2.9899154950880349E-3</v>
      </c>
      <c r="G8" s="35"/>
      <c r="H8" s="26">
        <f t="shared" si="1"/>
        <v>6.6298872712577932E-3</v>
      </c>
      <c r="I8" s="25"/>
      <c r="J8" s="24">
        <f t="shared" si="2"/>
        <v>0.99834527084911928</v>
      </c>
    </row>
    <row r="9" spans="1:11" x14ac:dyDescent="0.2">
      <c r="A9" s="36">
        <v>1.5</v>
      </c>
      <c r="B9" s="32">
        <v>0.99486799999999997</v>
      </c>
      <c r="C9" s="31">
        <f t="shared" si="0"/>
        <v>3.3827831036780075E-3</v>
      </c>
      <c r="D9" s="30"/>
      <c r="E9" s="29">
        <v>-0.58006141594203009</v>
      </c>
      <c r="F9" s="41">
        <f t="shared" si="3"/>
        <v>-4.2308064677328942E-3</v>
      </c>
      <c r="G9" s="35"/>
      <c r="H9" s="26">
        <f t="shared" si="1"/>
        <v>-7.4045549710886633E-4</v>
      </c>
      <c r="I9" s="25"/>
      <c r="J9" s="24">
        <f t="shared" si="2"/>
        <v>1.0001851481477682</v>
      </c>
    </row>
    <row r="10" spans="1:11" x14ac:dyDescent="0.2">
      <c r="A10" s="34">
        <v>1.75</v>
      </c>
      <c r="B10" s="32">
        <v>0.99402699999999999</v>
      </c>
      <c r="C10" s="31">
        <f t="shared" si="0"/>
        <v>3.3131530136250634E-3</v>
      </c>
      <c r="D10" s="30"/>
      <c r="E10" s="29">
        <v>9.115681248478294E-2</v>
      </c>
      <c r="F10" s="41">
        <f t="shared" si="3"/>
        <v>-7.1222030477840065E-3</v>
      </c>
      <c r="G10" s="27"/>
      <c r="H10" s="26">
        <f t="shared" si="1"/>
        <v>-3.6637233411221065E-3</v>
      </c>
      <c r="I10" s="25"/>
      <c r="J10" s="24">
        <f t="shared" si="2"/>
        <v>1.0009167705336812</v>
      </c>
    </row>
    <row r="11" spans="1:11" x14ac:dyDescent="0.2">
      <c r="A11" s="34">
        <v>2</v>
      </c>
      <c r="B11" s="32">
        <v>0.99320399999999998</v>
      </c>
      <c r="C11" s="31">
        <f t="shared" si="0"/>
        <v>3.9769905981912419E-3</v>
      </c>
      <c r="D11" s="30"/>
      <c r="E11" s="29">
        <v>-0.39582998146204917</v>
      </c>
      <c r="F11" s="41">
        <f t="shared" si="3"/>
        <v>-6.642452727094619E-3</v>
      </c>
      <c r="G11" s="27"/>
      <c r="H11" s="26">
        <f t="shared" si="1"/>
        <v>-2.4770527095333717E-3</v>
      </c>
      <c r="I11" s="25"/>
      <c r="J11" s="24">
        <f t="shared" si="2"/>
        <v>1.0006196469018926</v>
      </c>
    </row>
    <row r="12" spans="1:11" x14ac:dyDescent="0.2">
      <c r="A12" s="34">
        <v>2.25</v>
      </c>
      <c r="B12" s="32">
        <v>0.99221700000000002</v>
      </c>
      <c r="C12" s="31">
        <f t="shared" si="0"/>
        <v>3.993054836794096E-3</v>
      </c>
      <c r="D12" s="30"/>
      <c r="E12" s="29">
        <v>1.4472308550796522</v>
      </c>
      <c r="F12" s="41">
        <f t="shared" si="3"/>
        <v>-8.5860758589626374E-3</v>
      </c>
      <c r="G12" s="27"/>
      <c r="H12" s="26">
        <f t="shared" si="1"/>
        <v>-4.3563282190585764E-3</v>
      </c>
      <c r="I12" s="25"/>
      <c r="J12" s="24">
        <f t="shared" si="2"/>
        <v>1.0010902694476549</v>
      </c>
    </row>
    <row r="13" spans="1:11" x14ac:dyDescent="0.2">
      <c r="A13" s="34">
        <v>2.5</v>
      </c>
      <c r="B13" s="32">
        <v>0.99122699999999997</v>
      </c>
      <c r="C13" s="31">
        <f t="shared" si="0"/>
        <v>4.0051238242411347E-3</v>
      </c>
      <c r="D13" s="30"/>
      <c r="E13" s="29">
        <v>1.0613552090498217</v>
      </c>
      <c r="F13" s="41">
        <f t="shared" si="3"/>
        <v>-1.3282336606034346E-3</v>
      </c>
      <c r="G13" s="27"/>
      <c r="H13" s="26">
        <f t="shared" si="1"/>
        <v>2.9669459285239239E-3</v>
      </c>
      <c r="I13" s="25"/>
      <c r="J13" s="24">
        <f t="shared" si="2"/>
        <v>0.99925881328309707</v>
      </c>
    </row>
    <row r="14" spans="1:11" x14ac:dyDescent="0.2">
      <c r="A14" s="34">
        <v>2.75</v>
      </c>
      <c r="B14" s="32">
        <v>0.99023499999999998</v>
      </c>
      <c r="C14" s="31">
        <f t="shared" si="0"/>
        <v>4.1466193209117735E-3</v>
      </c>
      <c r="D14" s="30"/>
      <c r="E14" s="29">
        <v>1.5024120898917386</v>
      </c>
      <c r="F14" s="41">
        <f t="shared" si="3"/>
        <v>3.9593466940001333E-3</v>
      </c>
      <c r="G14" s="27"/>
      <c r="H14" s="26">
        <f t="shared" si="1"/>
        <v>8.4543453690400575E-3</v>
      </c>
      <c r="I14" s="25"/>
      <c r="J14" s="24">
        <f t="shared" si="2"/>
        <v>0.99789087148296751</v>
      </c>
    </row>
    <row r="15" spans="1:11" x14ac:dyDescent="0.2">
      <c r="A15" s="33">
        <v>3</v>
      </c>
      <c r="B15" s="32">
        <v>0.989209</v>
      </c>
      <c r="C15" s="31">
        <f t="shared" si="0"/>
        <v>4.8391132442122762E-3</v>
      </c>
      <c r="D15" s="30"/>
      <c r="E15" s="29">
        <v>0.49539021550278195</v>
      </c>
      <c r="F15" s="41">
        <f t="shared" si="3"/>
        <v>1.1410639064825506E-2</v>
      </c>
      <c r="G15" s="27"/>
      <c r="H15" s="26">
        <f t="shared" si="1"/>
        <v>1.6661299023971985E-2</v>
      </c>
      <c r="I15" s="25"/>
      <c r="J15" s="24">
        <f t="shared" si="2"/>
        <v>0.99585195320600706</v>
      </c>
    </row>
    <row r="16" spans="1:11" x14ac:dyDescent="0.2">
      <c r="A16" s="23">
        <v>3.25</v>
      </c>
      <c r="B16" s="22">
        <v>0.98801300000000003</v>
      </c>
      <c r="E16" s="21" t="s">
        <v>12</v>
      </c>
      <c r="J16" s="18">
        <f>PRODUCT(J3:J15)</f>
        <v>0.99008109479711648</v>
      </c>
    </row>
  </sheetData>
  <mergeCells count="1">
    <mergeCell ref="B1:C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3C32-B072-46DA-92C2-6DCBC13A36E1}">
  <sheetPr codeName="Sheet19"/>
  <dimension ref="A1:K17"/>
  <sheetViews>
    <sheetView workbookViewId="0"/>
  </sheetViews>
  <sheetFormatPr defaultColWidth="9.1796875" defaultRowHeight="14" x14ac:dyDescent="0.35"/>
  <cols>
    <col min="1" max="1" width="7.26953125" style="126" bestFit="1" customWidth="1"/>
    <col min="2" max="2" width="9.36328125" style="126" bestFit="1" customWidth="1"/>
    <col min="3" max="3" width="8.453125" style="126" bestFit="1" customWidth="1"/>
    <col min="4" max="4" width="17" style="311" customWidth="1"/>
    <col min="5" max="5" width="9.36328125" style="126" bestFit="1" customWidth="1"/>
    <col min="6" max="6" width="9.08984375" style="126" bestFit="1" customWidth="1"/>
    <col min="7" max="7" width="13.7265625" style="312" customWidth="1"/>
    <col min="8" max="8" width="9.08984375" style="126" bestFit="1" customWidth="1"/>
    <col min="9" max="9" width="10.81640625" style="312" customWidth="1"/>
    <col min="10" max="10" width="9.453125" style="126" bestFit="1" customWidth="1"/>
    <col min="11" max="11" width="9.26953125" style="126" bestFit="1" customWidth="1"/>
    <col min="12" max="16384" width="9.1796875" style="126"/>
  </cols>
  <sheetData>
    <row r="1" spans="1:11" x14ac:dyDescent="0.35">
      <c r="A1" s="310"/>
      <c r="B1" s="374" t="s">
        <v>420</v>
      </c>
      <c r="C1" s="374"/>
      <c r="K1" s="136" t="s">
        <v>293</v>
      </c>
    </row>
    <row r="2" spans="1:11" x14ac:dyDescent="0.35">
      <c r="A2" s="129" t="s">
        <v>28</v>
      </c>
      <c r="B2" s="129" t="s">
        <v>419</v>
      </c>
      <c r="C2" s="313" t="s">
        <v>26</v>
      </c>
      <c r="D2" s="314" t="s">
        <v>25</v>
      </c>
      <c r="E2" s="129" t="s">
        <v>24</v>
      </c>
      <c r="F2" s="182" t="s">
        <v>23</v>
      </c>
      <c r="G2" s="314" t="s">
        <v>22</v>
      </c>
      <c r="H2" s="182" t="s">
        <v>21</v>
      </c>
      <c r="I2" s="314" t="s">
        <v>20</v>
      </c>
      <c r="J2" s="136"/>
      <c r="K2" s="136">
        <v>0.01</v>
      </c>
    </row>
    <row r="3" spans="1:11" x14ac:dyDescent="0.35">
      <c r="A3" s="315">
        <v>0</v>
      </c>
      <c r="B3" s="316">
        <v>1</v>
      </c>
      <c r="C3" s="317">
        <f t="shared" ref="C3:C16" si="0">(-1/0.25)*LN(B4/B3)</f>
        <v>1.3824777010736197E-3</v>
      </c>
      <c r="D3" s="318" t="s">
        <v>19</v>
      </c>
      <c r="E3" s="319">
        <v>-0.67507065600497307</v>
      </c>
      <c r="F3" s="320">
        <v>0</v>
      </c>
      <c r="G3" s="321"/>
      <c r="H3" s="320">
        <f t="shared" ref="H3:H15" si="1">r_(C3,F3,A3)</f>
        <v>1.3824777010736197E-3</v>
      </c>
      <c r="I3" s="322" t="s">
        <v>18</v>
      </c>
      <c r="J3" s="132">
        <f t="shared" ref="J3:J15" si="2">1/(1+0.25*H3)</f>
        <v>0.99965449998624778</v>
      </c>
      <c r="K3" s="323"/>
    </row>
    <row r="4" spans="1:11" x14ac:dyDescent="0.35">
      <c r="A4" s="315">
        <v>0.25</v>
      </c>
      <c r="B4" s="316">
        <v>0.99965444029424488</v>
      </c>
      <c r="C4" s="317">
        <f t="shared" si="0"/>
        <v>1.3824777010736197E-3</v>
      </c>
      <c r="D4" s="318" t="s">
        <v>17</v>
      </c>
      <c r="E4" s="319">
        <v>-0.5430408511119118</v>
      </c>
      <c r="F4" s="324">
        <f>x_(F3,E3,A4,$A$15,$K$2)</f>
        <v>-3.4313348413337586E-3</v>
      </c>
      <c r="G4" s="325" t="s">
        <v>16</v>
      </c>
      <c r="H4" s="326">
        <f t="shared" si="1"/>
        <v>-2.0457554755498163E-3</v>
      </c>
      <c r="I4" s="322" t="s">
        <v>15</v>
      </c>
      <c r="J4" s="132">
        <f t="shared" si="2"/>
        <v>1.0005117005724495</v>
      </c>
      <c r="K4" s="323"/>
    </row>
    <row r="5" spans="1:11" x14ac:dyDescent="0.35">
      <c r="A5" s="315">
        <v>0.5</v>
      </c>
      <c r="B5" s="316">
        <v>0.999309</v>
      </c>
      <c r="C5" s="317">
        <f t="shared" si="0"/>
        <v>1.665844185715256E-3</v>
      </c>
      <c r="D5" s="327"/>
      <c r="E5" s="319">
        <v>1.2418480792648157</v>
      </c>
      <c r="F5" s="324">
        <f t="shared" ref="F5:F15" si="3">x_(F4,E4,A5,$A$15,$K$2)</f>
        <v>-6.1736161548951729E-3</v>
      </c>
      <c r="G5" s="325" t="s">
        <v>14</v>
      </c>
      <c r="H5" s="320">
        <f t="shared" si="1"/>
        <v>-4.4954578390475359E-3</v>
      </c>
      <c r="I5" s="321"/>
      <c r="J5" s="132">
        <f t="shared" si="2"/>
        <v>1.0011251289522038</v>
      </c>
      <c r="K5" s="323"/>
    </row>
    <row r="6" spans="1:11" x14ac:dyDescent="0.35">
      <c r="A6" s="315">
        <v>0.75</v>
      </c>
      <c r="B6" s="316">
        <v>0.99889291337610353</v>
      </c>
      <c r="C6" s="317">
        <f t="shared" si="0"/>
        <v>1.6658441857148117E-3</v>
      </c>
      <c r="E6" s="319">
        <v>1.8111783769925407</v>
      </c>
      <c r="F6" s="324">
        <f t="shared" si="3"/>
        <v>1.451801254543153E-6</v>
      </c>
      <c r="G6" s="328"/>
      <c r="H6" s="320">
        <f t="shared" si="1"/>
        <v>1.6947964006597538E-3</v>
      </c>
      <c r="I6" s="321"/>
      <c r="J6" s="132">
        <f t="shared" si="2"/>
        <v>0.9995764803447319</v>
      </c>
      <c r="K6" s="323"/>
    </row>
    <row r="7" spans="1:11" x14ac:dyDescent="0.35">
      <c r="A7" s="329">
        <v>1</v>
      </c>
      <c r="B7" s="316">
        <v>0.99847699999999995</v>
      </c>
      <c r="C7" s="317">
        <f t="shared" si="0"/>
        <v>2.6197021554802504E-3</v>
      </c>
      <c r="D7" s="327" t="s">
        <v>13</v>
      </c>
      <c r="E7" s="319">
        <v>-1.1783750715028232</v>
      </c>
      <c r="F7" s="324">
        <f t="shared" si="3"/>
        <v>8.9722100677704069E-3</v>
      </c>
      <c r="G7" s="327" t="s">
        <v>13</v>
      </c>
      <c r="H7" s="320">
        <f t="shared" si="1"/>
        <v>1.1640438139208011E-2</v>
      </c>
      <c r="I7" s="327" t="s">
        <v>13</v>
      </c>
      <c r="J7" s="132">
        <f t="shared" si="2"/>
        <v>0.99709833462926012</v>
      </c>
      <c r="K7" s="323"/>
    </row>
    <row r="8" spans="1:11" x14ac:dyDescent="0.35">
      <c r="A8" s="329">
        <v>1.25</v>
      </c>
      <c r="B8" s="316">
        <v>0.99782328600308778</v>
      </c>
      <c r="C8" s="317">
        <f t="shared" si="0"/>
        <v>2.6197021554798059E-3</v>
      </c>
      <c r="D8" s="327"/>
      <c r="E8" s="319">
        <v>-1.4371494454763298</v>
      </c>
      <c r="F8" s="324">
        <f t="shared" si="3"/>
        <v>2.9899154950880349E-3</v>
      </c>
      <c r="G8" s="330"/>
      <c r="H8" s="320">
        <f t="shared" si="1"/>
        <v>5.684876033173916E-3</v>
      </c>
      <c r="I8" s="321"/>
      <c r="J8" s="132">
        <f t="shared" si="2"/>
        <v>0.99858079798858179</v>
      </c>
    </row>
    <row r="9" spans="1:11" x14ac:dyDescent="0.35">
      <c r="A9" s="329">
        <v>1.5</v>
      </c>
      <c r="B9" s="316">
        <v>0.99717</v>
      </c>
      <c r="C9" s="317">
        <f t="shared" si="0"/>
        <v>2.5588732408163015E-3</v>
      </c>
      <c r="D9" s="327"/>
      <c r="E9" s="319">
        <v>-0.58006141594203009</v>
      </c>
      <c r="F9" s="324">
        <f t="shared" si="3"/>
        <v>-4.2308064677328942E-3</v>
      </c>
      <c r="G9" s="330"/>
      <c r="H9" s="320">
        <f t="shared" si="1"/>
        <v>-1.5643653599705723E-3</v>
      </c>
      <c r="I9" s="321"/>
      <c r="J9" s="132">
        <f t="shared" si="2"/>
        <v>1.0003912443522707</v>
      </c>
    </row>
    <row r="10" spans="1:11" x14ac:dyDescent="0.35">
      <c r="A10" s="315">
        <v>1.75</v>
      </c>
      <c r="B10" s="316">
        <v>0.99653229608979554</v>
      </c>
      <c r="C10" s="317">
        <f t="shared" si="0"/>
        <v>2.5588732408163015E-3</v>
      </c>
      <c r="D10" s="327"/>
      <c r="E10" s="319">
        <v>9.115681248478294E-2</v>
      </c>
      <c r="F10" s="324">
        <f t="shared" si="3"/>
        <v>-7.1222030477840065E-3</v>
      </c>
      <c r="G10" s="328"/>
      <c r="H10" s="320">
        <f t="shared" si="1"/>
        <v>-4.4180031139308684E-3</v>
      </c>
      <c r="I10" s="321"/>
      <c r="J10" s="132">
        <f t="shared" si="2"/>
        <v>1.0011057220493469</v>
      </c>
    </row>
    <row r="11" spans="1:11" x14ac:dyDescent="0.35">
      <c r="A11" s="315">
        <v>2</v>
      </c>
      <c r="B11" s="316">
        <v>0.99589499999999997</v>
      </c>
      <c r="C11" s="317">
        <f t="shared" si="0"/>
        <v>2.8899415785847695E-3</v>
      </c>
      <c r="D11" s="327"/>
      <c r="E11" s="319">
        <v>-0.39582998146204917</v>
      </c>
      <c r="F11" s="324">
        <f t="shared" si="3"/>
        <v>-6.642452727094619E-3</v>
      </c>
      <c r="G11" s="328"/>
      <c r="H11" s="320">
        <f t="shared" si="1"/>
        <v>-3.5641017291398441E-3</v>
      </c>
      <c r="I11" s="321"/>
      <c r="J11" s="132">
        <f t="shared" si="2"/>
        <v>1.0008918200666452</v>
      </c>
    </row>
    <row r="12" spans="1:11" x14ac:dyDescent="0.35">
      <c r="A12" s="315">
        <v>2.25</v>
      </c>
      <c r="B12" s="316">
        <v>0.9951757402665119</v>
      </c>
      <c r="C12" s="317">
        <f t="shared" si="0"/>
        <v>2.8899415785847695E-3</v>
      </c>
      <c r="D12" s="327"/>
      <c r="E12" s="319">
        <v>1.4472308550796522</v>
      </c>
      <c r="F12" s="324">
        <f t="shared" si="3"/>
        <v>-8.5860758589626374E-3</v>
      </c>
      <c r="G12" s="328"/>
      <c r="H12" s="320">
        <f t="shared" si="1"/>
        <v>-5.4594414772679029E-3</v>
      </c>
      <c r="I12" s="321"/>
      <c r="J12" s="132">
        <f t="shared" si="2"/>
        <v>1.0013667257591412</v>
      </c>
    </row>
    <row r="13" spans="1:11" x14ac:dyDescent="0.35">
      <c r="A13" s="315">
        <v>2.5</v>
      </c>
      <c r="B13" s="316">
        <v>0.99445700000000004</v>
      </c>
      <c r="C13" s="317">
        <f t="shared" si="0"/>
        <v>2.8316886130037122E-3</v>
      </c>
      <c r="D13" s="327"/>
      <c r="E13" s="319">
        <v>1.0613552090498217</v>
      </c>
      <c r="F13" s="324">
        <f t="shared" si="3"/>
        <v>-1.3282336606034346E-3</v>
      </c>
      <c r="G13" s="328"/>
      <c r="H13" s="320">
        <f t="shared" si="1"/>
        <v>1.7935107172865014E-3</v>
      </c>
      <c r="I13" s="321"/>
      <c r="J13" s="132">
        <f t="shared" si="2"/>
        <v>0.99955182327311909</v>
      </c>
    </row>
    <row r="14" spans="1:11" x14ac:dyDescent="0.35">
      <c r="A14" s="315">
        <v>2.75</v>
      </c>
      <c r="B14" s="316">
        <v>0.99375325098839296</v>
      </c>
      <c r="C14" s="317">
        <f t="shared" si="0"/>
        <v>2.8316886130032677E-3</v>
      </c>
      <c r="D14" s="327"/>
      <c r="E14" s="319">
        <v>1.5024120898917386</v>
      </c>
      <c r="F14" s="324">
        <f t="shared" si="3"/>
        <v>3.9593466940001333E-3</v>
      </c>
      <c r="G14" s="328"/>
      <c r="H14" s="320">
        <f t="shared" si="1"/>
        <v>7.1394146611315525E-3</v>
      </c>
      <c r="I14" s="321"/>
      <c r="J14" s="132">
        <f t="shared" si="2"/>
        <v>0.99821832636144125</v>
      </c>
    </row>
    <row r="15" spans="1:11" x14ac:dyDescent="0.35">
      <c r="A15" s="331">
        <v>3</v>
      </c>
      <c r="B15" s="316">
        <v>0.99304999999999999</v>
      </c>
      <c r="C15" s="317">
        <f t="shared" si="0"/>
        <v>3.3097205881440148E-3</v>
      </c>
      <c r="D15" s="327"/>
      <c r="E15" s="319">
        <v>0.49539021550278195</v>
      </c>
      <c r="F15" s="324">
        <f t="shared" si="3"/>
        <v>1.1410639064825506E-2</v>
      </c>
      <c r="G15" s="328"/>
      <c r="H15" s="320">
        <f t="shared" si="1"/>
        <v>1.5131906367903724E-2</v>
      </c>
      <c r="I15" s="321"/>
      <c r="J15" s="132">
        <f t="shared" si="2"/>
        <v>0.9962312803861052</v>
      </c>
    </row>
    <row r="16" spans="1:11" x14ac:dyDescent="0.35">
      <c r="A16" s="332">
        <v>3.25</v>
      </c>
      <c r="B16" s="316">
        <v>0.99222866033994395</v>
      </c>
      <c r="C16" s="317">
        <f t="shared" si="0"/>
        <v>3.3097205881435702E-3</v>
      </c>
      <c r="E16" s="333" t="s">
        <v>12</v>
      </c>
      <c r="J16" s="126">
        <f>PRODUCT(J3:J15)</f>
        <v>0.99430320757774537</v>
      </c>
    </row>
    <row r="17" spans="1:2" x14ac:dyDescent="0.35">
      <c r="A17" s="315">
        <v>3.5</v>
      </c>
      <c r="B17" s="316">
        <v>0.99140799999999996</v>
      </c>
    </row>
  </sheetData>
  <mergeCells count="1">
    <mergeCell ref="B1:C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U17"/>
  <sheetViews>
    <sheetView workbookViewId="0"/>
  </sheetViews>
  <sheetFormatPr defaultColWidth="9.1796875" defaultRowHeight="12" x14ac:dyDescent="0.2"/>
  <cols>
    <col min="1" max="1" width="5.26953125" style="18" customWidth="1"/>
    <col min="2" max="3" width="8.1796875" style="18" customWidth="1"/>
    <col min="4" max="4" width="1.7265625" style="20" hidden="1" customWidth="1"/>
    <col min="5" max="5" width="9.26953125" style="18" hidden="1" customWidth="1"/>
    <col min="6" max="6" width="8.1796875" style="43" customWidth="1"/>
    <col min="7" max="7" width="1.7265625" style="19" hidden="1" customWidth="1"/>
    <col min="8" max="8" width="1.7265625" style="18" hidden="1" customWidth="1"/>
    <col min="9" max="9" width="1.7265625" style="19" hidden="1" customWidth="1"/>
    <col min="10" max="11" width="10" style="43" customWidth="1"/>
    <col min="12" max="12" width="8.54296875" style="18" customWidth="1"/>
    <col min="13" max="13" width="19" style="18" customWidth="1"/>
    <col min="14" max="14" width="7.81640625" style="49" customWidth="1"/>
    <col min="15" max="15" width="16" style="18" customWidth="1"/>
    <col min="16" max="16" width="9.81640625" style="18" customWidth="1"/>
    <col min="17" max="18" width="9" style="18" bestFit="1" customWidth="1"/>
    <col min="19" max="19" width="9.81640625" style="18" bestFit="1" customWidth="1"/>
    <col min="20" max="16384" width="9.1796875" style="18"/>
  </cols>
  <sheetData>
    <row r="1" spans="1:21" x14ac:dyDescent="0.2">
      <c r="A1" s="48"/>
      <c r="B1" s="373" t="s">
        <v>29</v>
      </c>
      <c r="C1" s="373"/>
      <c r="J1" s="43" t="s">
        <v>48</v>
      </c>
      <c r="K1" s="43" t="s">
        <v>47</v>
      </c>
      <c r="O1" s="19"/>
      <c r="P1" s="69">
        <v>0.02</v>
      </c>
      <c r="S1" s="66" t="s">
        <v>46</v>
      </c>
      <c r="T1" s="43" t="s">
        <v>293</v>
      </c>
    </row>
    <row r="2" spans="1:21" x14ac:dyDescent="0.2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46" t="s">
        <v>40</v>
      </c>
      <c r="Q2" s="46" t="s">
        <v>39</v>
      </c>
      <c r="R2" s="46" t="s">
        <v>38</v>
      </c>
      <c r="S2" s="66">
        <f>SUM(S9:S15)</f>
        <v>-3.3358525691004517E-2</v>
      </c>
      <c r="T2" s="43">
        <v>0.01</v>
      </c>
      <c r="U2" s="43"/>
    </row>
    <row r="3" spans="1:21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65">
        <v>0</v>
      </c>
      <c r="G3" s="25"/>
      <c r="H3" s="26"/>
      <c r="I3" s="39"/>
      <c r="J3" s="32">
        <f>B_(A3,A5)</f>
        <v>0.49626867989791179</v>
      </c>
      <c r="K3" s="32">
        <f>A_(A3,A5,$T$2)</f>
        <v>1</v>
      </c>
      <c r="L3" s="64">
        <f>B5/B3*K3*EXP(-J3*F3)</f>
        <v>0.99828600000000001</v>
      </c>
      <c r="M3" s="63" t="s">
        <v>37</v>
      </c>
      <c r="N3" s="62">
        <f>(1/L3-1)*360/182.5</f>
        <v>3.3868461501919819E-3</v>
      </c>
      <c r="O3" s="61" t="s">
        <v>36</v>
      </c>
      <c r="P3" s="49"/>
      <c r="Q3" s="51"/>
      <c r="R3" s="51"/>
      <c r="T3" s="24"/>
      <c r="U3" s="37"/>
    </row>
    <row r="4" spans="1:21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>x_(F3,E3,A4,$A$15,$T$2)</f>
        <v>-3.4313348413337586E-3</v>
      </c>
      <c r="G4" s="38"/>
      <c r="H4" s="26"/>
      <c r="I4" s="39"/>
      <c r="J4" s="60" t="s">
        <v>35</v>
      </c>
      <c r="K4" s="60" t="s">
        <v>34</v>
      </c>
      <c r="L4" s="51"/>
      <c r="M4" s="59"/>
      <c r="N4" s="55"/>
      <c r="O4" s="58"/>
      <c r="P4" s="49"/>
      <c r="Q4" s="51"/>
      <c r="R4" s="51"/>
      <c r="S4" s="50"/>
      <c r="T4" s="24"/>
      <c r="U4" s="37"/>
    </row>
    <row r="5" spans="1:21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ref="F5:F15" si="1">x_(F4,E4,A5,$A$15,$T$2)</f>
        <v>-6.1736161548951729E-3</v>
      </c>
      <c r="G5" s="38"/>
      <c r="H5" s="26"/>
      <c r="I5" s="25"/>
      <c r="J5" s="32">
        <f>B_(A5,A7)</f>
        <v>0.49626867989791179</v>
      </c>
      <c r="K5" s="32">
        <f>A_(A5,A7,T2)</f>
        <v>0.99998782333126668</v>
      </c>
      <c r="L5" s="64">
        <f>B7/B5*K5*EXP(-J5*F5)</f>
        <v>1.0013742573343749</v>
      </c>
      <c r="M5" s="63" t="s">
        <v>33</v>
      </c>
      <c r="N5" s="62">
        <f>(1/L5-1)*360/182.5</f>
        <v>-2.7071434711060972E-3</v>
      </c>
      <c r="O5" s="61" t="s">
        <v>32</v>
      </c>
      <c r="P5" s="52"/>
      <c r="Q5" s="51"/>
      <c r="R5" s="51"/>
      <c r="S5" s="50"/>
      <c r="T5" s="24"/>
      <c r="U5" s="37"/>
    </row>
    <row r="6" spans="1:21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1.451801254543153E-6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P6" s="49"/>
      <c r="Q6" s="51"/>
      <c r="R6" s="51"/>
      <c r="S6" s="50"/>
      <c r="T6" s="24"/>
      <c r="U6" s="37"/>
    </row>
    <row r="7" spans="1:21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8.9722100677704069E-3</v>
      </c>
      <c r="G7" s="30"/>
      <c r="H7" s="26"/>
      <c r="I7" s="30"/>
      <c r="J7" s="32">
        <f>B_(A7,A9)</f>
        <v>0.49626867989791179</v>
      </c>
      <c r="K7" s="32">
        <f>A_(A7,A9,T2)</f>
        <v>0.99996396677176336</v>
      </c>
      <c r="L7" s="51">
        <f>B9/B7*K7*EXP(-J7*F7)</f>
        <v>0.9937793067332702</v>
      </c>
      <c r="M7" s="30" t="s">
        <v>13</v>
      </c>
      <c r="N7" s="55">
        <f>(1/L7-1)*360/182.5</f>
        <v>1.2347768259819656E-2</v>
      </c>
      <c r="O7" s="30" t="s">
        <v>13</v>
      </c>
      <c r="P7" s="52"/>
      <c r="Q7" s="51"/>
      <c r="R7" s="51"/>
      <c r="S7" s="50"/>
      <c r="T7" s="24"/>
      <c r="U7" s="37"/>
    </row>
    <row r="8" spans="1:21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2.9899154950880349E-3</v>
      </c>
      <c r="G8" s="35"/>
      <c r="H8" s="26"/>
      <c r="I8" s="25"/>
      <c r="L8" s="51"/>
      <c r="M8" s="51"/>
      <c r="N8" s="55"/>
      <c r="O8" s="58"/>
    </row>
    <row r="9" spans="1:21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-4.2308064677328942E-3</v>
      </c>
      <c r="G9" s="35"/>
      <c r="H9" s="26"/>
      <c r="I9" s="25"/>
      <c r="J9" s="32">
        <f>B_(A9,A11)</f>
        <v>0.49626867989791179</v>
      </c>
      <c r="K9" s="32">
        <f>A_(A9,A11,T2)</f>
        <v>0.99992895558403017</v>
      </c>
      <c r="L9" s="51">
        <f>B11/B9*K9*EXP(-J9*F9)</f>
        <v>1.0003546486445414</v>
      </c>
      <c r="M9" s="51"/>
      <c r="N9" s="55">
        <f>(1/L9-1)*360/182.5</f>
        <v>-6.993328704079793E-4</v>
      </c>
      <c r="O9" s="54"/>
      <c r="P9" s="52">
        <f>N7*182.5/360-$P$1/2</f>
        <v>-3.7403674793969801E-3</v>
      </c>
      <c r="Q9" s="51">
        <f>B_(A9,$A$15)</f>
        <v>1.4667506055633348</v>
      </c>
      <c r="R9" s="51">
        <f>A_(A9,$A$15)</f>
        <v>0.99968796947748795</v>
      </c>
      <c r="S9" s="50">
        <f>P9*B9/R9*EXP(Q9*F9)</f>
        <v>-3.6993058370756835E-3</v>
      </c>
    </row>
    <row r="10" spans="1:21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-7.1222030477840065E-3</v>
      </c>
      <c r="G10" s="27"/>
      <c r="H10" s="26"/>
      <c r="I10" s="25"/>
      <c r="L10" s="51"/>
      <c r="M10" s="51"/>
      <c r="N10" s="57"/>
      <c r="O10" s="56"/>
    </row>
    <row r="11" spans="1:21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-6.642452727094619E-3</v>
      </c>
      <c r="G11" s="27"/>
      <c r="H11" s="26"/>
      <c r="I11" s="25"/>
      <c r="J11" s="32">
        <f>B_(A11,A13)</f>
        <v>0.49626867989791179</v>
      </c>
      <c r="K11" s="32">
        <f>A_(A11,A13,T2)</f>
        <v>0.99988329717551372</v>
      </c>
      <c r="L11" s="51">
        <f>B13/B11*K11*EXP(-J11*F11)</f>
        <v>1.0011879252775657</v>
      </c>
      <c r="M11" s="51"/>
      <c r="N11" s="55">
        <f>(1/L11-1)*360/182.5</f>
        <v>-2.3405242891500668E-3</v>
      </c>
      <c r="O11" s="54"/>
      <c r="P11" s="52">
        <f>N9*182.5/360-$P$1/2</f>
        <v>-1.0354522913470712E-2</v>
      </c>
      <c r="Q11" s="51">
        <f>B_(A11,$A$15)</f>
        <v>0.98514888171639492</v>
      </c>
      <c r="R11" s="51">
        <f>A_(A11,$A$15)</f>
        <v>0.9997229722274118</v>
      </c>
      <c r="S11" s="50">
        <f>P11*B11/R11*EXP(Q11*F11)</f>
        <v>-1.0219906990831605E-2</v>
      </c>
    </row>
    <row r="12" spans="1:21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-8.5860758589626374E-3</v>
      </c>
      <c r="G12" s="27"/>
      <c r="H12" s="26"/>
      <c r="I12" s="25"/>
      <c r="L12" s="51"/>
      <c r="M12" s="51"/>
    </row>
    <row r="13" spans="1:21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-1.3282336606034346E-3</v>
      </c>
      <c r="G13" s="27"/>
      <c r="H13" s="26"/>
      <c r="I13" s="25"/>
      <c r="J13" s="32">
        <f>B_(A13,A15)</f>
        <v>0.49626867989791179</v>
      </c>
      <c r="K13" s="32">
        <f>A_(A13,A15,T2)</f>
        <v>0.99982748162305835</v>
      </c>
      <c r="L13" s="51">
        <f>B15/B13*K13*EXP(-J13*F13)</f>
        <v>0.99844989437582055</v>
      </c>
      <c r="M13" s="51"/>
      <c r="N13" s="55">
        <f>(1/L13-1)*360/182.5</f>
        <v>3.0624897837591165E-3</v>
      </c>
      <c r="O13" s="54"/>
      <c r="P13" s="52">
        <f>N11*182.5/360-$P$1/2</f>
        <v>-1.1186515785471909E-2</v>
      </c>
      <c r="Q13" s="51">
        <f>B_(A13,$A$15)</f>
        <v>0.49626867989791179</v>
      </c>
      <c r="R13" s="51">
        <f>A_(A13,$A$15)</f>
        <v>0.99982748162305835</v>
      </c>
      <c r="S13" s="50">
        <f>P13*B13/R13*EXP(Q13*F13)</f>
        <v>-1.1082981886185337E-2</v>
      </c>
    </row>
    <row r="14" spans="1:21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3.9593466940001333E-3</v>
      </c>
      <c r="G14" s="27"/>
      <c r="H14" s="26"/>
      <c r="I14" s="25"/>
    </row>
    <row r="15" spans="1:21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1.1410639064825506E-2</v>
      </c>
      <c r="G15" s="27"/>
      <c r="H15" s="26"/>
      <c r="I15" s="25"/>
      <c r="P15" s="52">
        <f>N13*182.5/360-$P$1/2</f>
        <v>-8.4474878179554482E-3</v>
      </c>
      <c r="Q15" s="51">
        <f>B_(A15,$A$15)</f>
        <v>0</v>
      </c>
      <c r="R15" s="51">
        <f>A_(A15,$A$15)</f>
        <v>1</v>
      </c>
      <c r="S15" s="50">
        <f>P15*B15/R15*EXP(Q15*F15)</f>
        <v>-8.3563309769118903E-3</v>
      </c>
    </row>
    <row r="16" spans="1:21" x14ac:dyDescent="0.2">
      <c r="A16" s="23">
        <v>3.25</v>
      </c>
      <c r="B16" s="22">
        <v>0.98801300000000003</v>
      </c>
      <c r="C16" s="43"/>
      <c r="E16" s="21"/>
    </row>
    <row r="17" spans="16:19" x14ac:dyDescent="0.2">
      <c r="P17" s="18">
        <v>0.96783162086909935</v>
      </c>
      <c r="S17" s="18">
        <f>P15*P17</f>
        <v>-8.175745827123793E-3</v>
      </c>
    </row>
  </sheetData>
  <mergeCells count="1">
    <mergeCell ref="B1:C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5943-28B5-43FB-BBE9-1CDE32F2641E}">
  <sheetPr codeName="Sheet21"/>
  <dimension ref="A1:U17"/>
  <sheetViews>
    <sheetView workbookViewId="0">
      <selection activeCell="A2" sqref="A2:B17"/>
    </sheetView>
  </sheetViews>
  <sheetFormatPr defaultColWidth="9.1796875" defaultRowHeight="14" x14ac:dyDescent="0.35"/>
  <cols>
    <col min="1" max="1" width="5.36328125" style="126" bestFit="1" customWidth="1"/>
    <col min="2" max="2" width="8.81640625" style="126" bestFit="1" customWidth="1"/>
    <col min="3" max="3" width="8.453125" style="126" bestFit="1" customWidth="1"/>
    <col min="4" max="4" width="1.7265625" style="311" hidden="1" customWidth="1"/>
    <col min="5" max="5" width="8.54296875" style="126" bestFit="1" customWidth="1"/>
    <col min="6" max="6" width="9.08984375" style="136" bestFit="1" customWidth="1"/>
    <col min="7" max="7" width="1.7265625" style="312" hidden="1" customWidth="1"/>
    <col min="8" max="8" width="1.7265625" style="126" hidden="1" customWidth="1"/>
    <col min="9" max="9" width="1.7265625" style="312" hidden="1" customWidth="1"/>
    <col min="10" max="11" width="9.7265625" style="136" bestFit="1" customWidth="1"/>
    <col min="12" max="12" width="9" style="126" bestFit="1" customWidth="1"/>
    <col min="13" max="13" width="19.90625" style="126" bestFit="1" customWidth="1"/>
    <col min="14" max="14" width="8.36328125" style="334" bestFit="1" customWidth="1"/>
    <col min="15" max="15" width="16.36328125" style="126" bestFit="1" customWidth="1"/>
    <col min="16" max="16" width="12.453125" style="126" bestFit="1" customWidth="1"/>
    <col min="17" max="18" width="8.36328125" style="126" bestFit="1" customWidth="1"/>
    <col min="19" max="19" width="13.1796875" style="126" bestFit="1" customWidth="1"/>
    <col min="20" max="20" width="5.36328125" style="126" bestFit="1" customWidth="1"/>
    <col min="21" max="16384" width="9.1796875" style="126"/>
  </cols>
  <sheetData>
    <row r="1" spans="1:21" x14ac:dyDescent="0.35">
      <c r="A1" s="310"/>
      <c r="B1" s="374" t="s">
        <v>420</v>
      </c>
      <c r="C1" s="374"/>
      <c r="J1" s="136" t="s">
        <v>48</v>
      </c>
      <c r="K1" s="136" t="s">
        <v>47</v>
      </c>
      <c r="O1" s="312"/>
      <c r="P1" s="335">
        <v>0.02</v>
      </c>
      <c r="S1" s="336" t="s">
        <v>46</v>
      </c>
      <c r="T1" s="136" t="s">
        <v>293</v>
      </c>
    </row>
    <row r="2" spans="1:21" x14ac:dyDescent="0.35">
      <c r="A2" s="129" t="s">
        <v>421</v>
      </c>
      <c r="B2" s="129" t="s">
        <v>418</v>
      </c>
      <c r="C2" s="313" t="s">
        <v>26</v>
      </c>
      <c r="D2" s="314"/>
      <c r="E2" s="129" t="s">
        <v>24</v>
      </c>
      <c r="F2" s="182" t="s">
        <v>23</v>
      </c>
      <c r="G2" s="314"/>
      <c r="H2" s="182"/>
      <c r="I2" s="314"/>
      <c r="J2" s="337" t="s">
        <v>45</v>
      </c>
      <c r="K2" s="337" t="s">
        <v>45</v>
      </c>
      <c r="L2" s="129" t="s">
        <v>44</v>
      </c>
      <c r="M2" s="337" t="s">
        <v>43</v>
      </c>
      <c r="N2" s="338" t="s">
        <v>422</v>
      </c>
      <c r="O2" s="337" t="s">
        <v>41</v>
      </c>
      <c r="P2" s="129" t="s">
        <v>40</v>
      </c>
      <c r="Q2" s="129" t="s">
        <v>39</v>
      </c>
      <c r="R2" s="129" t="s">
        <v>38</v>
      </c>
      <c r="S2" s="336">
        <f>SUM(S9:S15)</f>
        <v>-3.5455991724069595E-2</v>
      </c>
      <c r="T2" s="136">
        <v>0.01</v>
      </c>
      <c r="U2" s="136"/>
    </row>
    <row r="3" spans="1:21" x14ac:dyDescent="0.35">
      <c r="A3" s="315">
        <v>0</v>
      </c>
      <c r="B3" s="130">
        <v>1</v>
      </c>
      <c r="C3" s="339">
        <f t="shared" ref="C3:C15" si="0">(-1/0.25)*LN(B4/B3)</f>
        <v>1.3824777010736197E-3</v>
      </c>
      <c r="D3" s="318"/>
      <c r="E3" s="319">
        <v>-0.67507065600497307</v>
      </c>
      <c r="F3" s="128">
        <v>0</v>
      </c>
      <c r="G3" s="321"/>
      <c r="H3" s="320"/>
      <c r="I3" s="322"/>
      <c r="J3" s="130">
        <f>B_(A3,A5)</f>
        <v>0.49626867989791179</v>
      </c>
      <c r="K3" s="130">
        <f>A_(A3,A5,$T$2)</f>
        <v>1</v>
      </c>
      <c r="L3" s="340">
        <f>B5/B3*K3*EXP(-J3*F3)</f>
        <v>0.999309</v>
      </c>
      <c r="M3" s="341" t="s">
        <v>37</v>
      </c>
      <c r="N3" s="342">
        <f>(1/L3-1)*360/182.5</f>
        <v>1.3640110247688025E-3</v>
      </c>
      <c r="O3" s="343" t="s">
        <v>36</v>
      </c>
      <c r="P3" s="334"/>
      <c r="Q3" s="131"/>
      <c r="R3" s="131"/>
      <c r="T3" s="132"/>
      <c r="U3" s="323"/>
    </row>
    <row r="4" spans="1:21" x14ac:dyDescent="0.35">
      <c r="A4" s="315">
        <v>0.25</v>
      </c>
      <c r="B4" s="130">
        <v>0.99965444029424488</v>
      </c>
      <c r="C4" s="339">
        <f t="shared" si="0"/>
        <v>1.3824777010736197E-3</v>
      </c>
      <c r="D4" s="318"/>
      <c r="E4" s="319">
        <v>-0.5430408511119118</v>
      </c>
      <c r="F4" s="339">
        <f>x_(F3,E3,A4,$A$15,$T$2)</f>
        <v>-3.4313348413337586E-3</v>
      </c>
      <c r="G4" s="325"/>
      <c r="H4" s="320"/>
      <c r="I4" s="322"/>
      <c r="J4" s="344" t="s">
        <v>35</v>
      </c>
      <c r="K4" s="344" t="s">
        <v>34</v>
      </c>
      <c r="L4" s="131"/>
      <c r="M4" s="345"/>
      <c r="N4" s="346"/>
      <c r="O4" s="347"/>
      <c r="P4" s="334"/>
      <c r="Q4" s="131"/>
      <c r="R4" s="131"/>
      <c r="S4" s="348"/>
      <c r="T4" s="132"/>
      <c r="U4" s="323"/>
    </row>
    <row r="5" spans="1:21" x14ac:dyDescent="0.35">
      <c r="A5" s="315">
        <v>0.5</v>
      </c>
      <c r="B5" s="130">
        <v>0.999309</v>
      </c>
      <c r="C5" s="339">
        <f t="shared" si="0"/>
        <v>1.665844185715256E-3</v>
      </c>
      <c r="D5" s="327"/>
      <c r="E5" s="319">
        <v>1.2418480792648157</v>
      </c>
      <c r="F5" s="339">
        <f t="shared" ref="F5:F15" si="1">x_(F4,E4,A5,$A$15,$T$2)</f>
        <v>-6.1736161548951729E-3</v>
      </c>
      <c r="G5" s="325"/>
      <c r="H5" s="320"/>
      <c r="I5" s="321"/>
      <c r="J5" s="130">
        <f>B_(A5,A7)</f>
        <v>0.49626867989791179</v>
      </c>
      <c r="K5" s="130">
        <f>A_(A5,A7,T2)</f>
        <v>0.99998782333126668</v>
      </c>
      <c r="L5" s="340">
        <f>B7/B5*K5*EXP(-J5*F5)</f>
        <v>1.0022211365809683</v>
      </c>
      <c r="M5" s="341" t="s">
        <v>33</v>
      </c>
      <c r="N5" s="342">
        <f>(1/L5-1)*360/182.5</f>
        <v>-4.3717099400546406E-3</v>
      </c>
      <c r="O5" s="343" t="s">
        <v>32</v>
      </c>
      <c r="P5" s="316"/>
      <c r="Q5" s="131"/>
      <c r="R5" s="131"/>
      <c r="S5" s="348"/>
      <c r="T5" s="132"/>
      <c r="U5" s="323"/>
    </row>
    <row r="6" spans="1:21" x14ac:dyDescent="0.35">
      <c r="A6" s="315">
        <v>0.75</v>
      </c>
      <c r="B6" s="130">
        <v>0.99889291337610353</v>
      </c>
      <c r="C6" s="339">
        <f t="shared" si="0"/>
        <v>1.6658441857148117E-3</v>
      </c>
      <c r="E6" s="319">
        <v>1.8111783769925407</v>
      </c>
      <c r="F6" s="339">
        <f t="shared" si="1"/>
        <v>1.451801254543153E-6</v>
      </c>
      <c r="G6" s="328"/>
      <c r="H6" s="320"/>
      <c r="I6" s="321"/>
      <c r="J6" s="344" t="s">
        <v>31</v>
      </c>
      <c r="K6" s="344" t="s">
        <v>30</v>
      </c>
      <c r="L6" s="131"/>
      <c r="M6" s="345"/>
      <c r="N6" s="346"/>
      <c r="O6" s="347"/>
      <c r="P6" s="334"/>
      <c r="Q6" s="131"/>
      <c r="R6" s="131"/>
      <c r="S6" s="348"/>
      <c r="T6" s="132"/>
      <c r="U6" s="323"/>
    </row>
    <row r="7" spans="1:21" x14ac:dyDescent="0.35">
      <c r="A7" s="329">
        <v>1</v>
      </c>
      <c r="B7" s="130">
        <v>0.99847699999999995</v>
      </c>
      <c r="C7" s="339">
        <f t="shared" si="0"/>
        <v>2.6197021554802504E-3</v>
      </c>
      <c r="D7" s="327"/>
      <c r="E7" s="319">
        <v>-1.1783750715028232</v>
      </c>
      <c r="F7" s="339">
        <f t="shared" si="1"/>
        <v>8.9722100677704069E-3</v>
      </c>
      <c r="G7" s="327"/>
      <c r="H7" s="320"/>
      <c r="I7" s="327"/>
      <c r="J7" s="130">
        <f>B_(A7,A9)</f>
        <v>0.49626867989791179</v>
      </c>
      <c r="K7" s="130">
        <f>A_(A7,A9,T2)</f>
        <v>0.99996396677176336</v>
      </c>
      <c r="L7" s="131">
        <f>B9/B7*K7*EXP(-J7*F7)</f>
        <v>0.99421826712167416</v>
      </c>
      <c r="M7" s="327" t="s">
        <v>13</v>
      </c>
      <c r="N7" s="346">
        <f>(1/L7-1)*360/182.5</f>
        <v>1.1471386609268252E-2</v>
      </c>
      <c r="O7" s="327" t="s">
        <v>13</v>
      </c>
      <c r="P7" s="316"/>
      <c r="Q7" s="131"/>
      <c r="R7" s="131"/>
      <c r="S7" s="348"/>
      <c r="T7" s="132"/>
      <c r="U7" s="323"/>
    </row>
    <row r="8" spans="1:21" x14ac:dyDescent="0.35">
      <c r="A8" s="329">
        <v>1.25</v>
      </c>
      <c r="B8" s="130">
        <v>0.99782328600308778</v>
      </c>
      <c r="C8" s="339">
        <f t="shared" si="0"/>
        <v>2.6197021554798059E-3</v>
      </c>
      <c r="D8" s="327"/>
      <c r="E8" s="319">
        <v>-1.4371494454763298</v>
      </c>
      <c r="F8" s="339">
        <f t="shared" si="1"/>
        <v>2.9899154950880349E-3</v>
      </c>
      <c r="G8" s="330"/>
      <c r="H8" s="320"/>
      <c r="I8" s="321"/>
      <c r="L8" s="131"/>
      <c r="M8" s="131"/>
      <c r="N8" s="346"/>
      <c r="O8" s="347"/>
    </row>
    <row r="9" spans="1:21" x14ac:dyDescent="0.35">
      <c r="A9" s="329">
        <v>1.5</v>
      </c>
      <c r="B9" s="130">
        <v>0.99717</v>
      </c>
      <c r="C9" s="339">
        <f t="shared" si="0"/>
        <v>2.5588732408163015E-3</v>
      </c>
      <c r="D9" s="327"/>
      <c r="E9" s="319">
        <v>-0.58006141594203009</v>
      </c>
      <c r="F9" s="339">
        <f t="shared" si="1"/>
        <v>-4.2308064677328942E-3</v>
      </c>
      <c r="G9" s="330"/>
      <c r="H9" s="320"/>
      <c r="I9" s="321"/>
      <c r="J9" s="130">
        <f>B_(A9,A11)</f>
        <v>0.49626867989791179</v>
      </c>
      <c r="K9" s="130">
        <f>A_(A9,A11,T2)</f>
        <v>0.99992895558403017</v>
      </c>
      <c r="L9" s="131">
        <f>B11/B9*K9*EXP(-J9*F9)</f>
        <v>1.0007494138508366</v>
      </c>
      <c r="M9" s="131"/>
      <c r="N9" s="346">
        <f>(1/L9-1)*360/182.5</f>
        <v>-1.4771887896096675E-3</v>
      </c>
      <c r="O9" s="349"/>
      <c r="P9" s="316">
        <f>N7*182.5/360-$P$1/2</f>
        <v>-4.1846442883570669E-3</v>
      </c>
      <c r="Q9" s="131">
        <f>B_(A9,$A$15)</f>
        <v>1.4667506055633348</v>
      </c>
      <c r="R9" s="131">
        <f>A_(A9,$A$15)</f>
        <v>0.99968796947748795</v>
      </c>
      <c r="S9" s="348">
        <f>P9*B9/R9*EXP(Q9*F9)</f>
        <v>-4.1482818346403882E-3</v>
      </c>
    </row>
    <row r="10" spans="1:21" x14ac:dyDescent="0.35">
      <c r="A10" s="315">
        <v>1.75</v>
      </c>
      <c r="B10" s="130">
        <v>0.99653229608979554</v>
      </c>
      <c r="C10" s="339">
        <f t="shared" si="0"/>
        <v>2.5588732408163015E-3</v>
      </c>
      <c r="D10" s="327"/>
      <c r="E10" s="319">
        <v>9.115681248478294E-2</v>
      </c>
      <c r="F10" s="339">
        <f t="shared" si="1"/>
        <v>-7.1222030477840065E-3</v>
      </c>
      <c r="G10" s="328"/>
      <c r="H10" s="320"/>
      <c r="I10" s="321"/>
      <c r="L10" s="131"/>
      <c r="M10" s="131"/>
      <c r="N10" s="350"/>
      <c r="O10" s="351"/>
    </row>
    <row r="11" spans="1:21" x14ac:dyDescent="0.35">
      <c r="A11" s="315">
        <v>2</v>
      </c>
      <c r="B11" s="130">
        <v>0.99589499999999997</v>
      </c>
      <c r="C11" s="339">
        <f t="shared" si="0"/>
        <v>2.8899415785847695E-3</v>
      </c>
      <c r="D11" s="327"/>
      <c r="E11" s="319">
        <v>-0.39582998146204917</v>
      </c>
      <c r="F11" s="339">
        <f t="shared" si="1"/>
        <v>-6.642452727094619E-3</v>
      </c>
      <c r="G11" s="328"/>
      <c r="H11" s="320"/>
      <c r="I11" s="321"/>
      <c r="J11" s="130">
        <f>B_(A11,A13)</f>
        <v>0.49626867989791179</v>
      </c>
      <c r="K11" s="130">
        <f>A_(A11,A13,T2)</f>
        <v>0.99988329717551372</v>
      </c>
      <c r="L11" s="131">
        <f>B13/B11*K11*EXP(-J11*F11)</f>
        <v>1.0017362663901057</v>
      </c>
      <c r="M11" s="131"/>
      <c r="N11" s="346">
        <f>(1/L11-1)*360/182.5</f>
        <v>-3.4190274954895017E-3</v>
      </c>
      <c r="O11" s="349"/>
      <c r="P11" s="316">
        <f>N9*182.5/360-$P$1/2</f>
        <v>-1.0748852650288234E-2</v>
      </c>
      <c r="Q11" s="131">
        <f>B_(A11,$A$15)</f>
        <v>0.98514888171639492</v>
      </c>
      <c r="R11" s="131">
        <f>A_(A11,$A$15)</f>
        <v>0.9997229722274118</v>
      </c>
      <c r="S11" s="348">
        <f>P11*B11/R11*EXP(Q11*F11)</f>
        <v>-1.0637854632575387E-2</v>
      </c>
    </row>
    <row r="12" spans="1:21" x14ac:dyDescent="0.35">
      <c r="A12" s="315">
        <v>2.25</v>
      </c>
      <c r="B12" s="130">
        <v>0.9951757402665119</v>
      </c>
      <c r="C12" s="339">
        <f t="shared" si="0"/>
        <v>2.8899415785847695E-3</v>
      </c>
      <c r="D12" s="327"/>
      <c r="E12" s="319">
        <v>1.4472308550796522</v>
      </c>
      <c r="F12" s="339">
        <f t="shared" si="1"/>
        <v>-8.5860758589626374E-3</v>
      </c>
      <c r="G12" s="328"/>
      <c r="H12" s="320"/>
      <c r="I12" s="321"/>
      <c r="L12" s="131"/>
      <c r="M12" s="131"/>
    </row>
    <row r="13" spans="1:21" x14ac:dyDescent="0.35">
      <c r="A13" s="315">
        <v>2.5</v>
      </c>
      <c r="B13" s="130">
        <v>0.99445700000000004</v>
      </c>
      <c r="C13" s="339">
        <f t="shared" si="0"/>
        <v>2.8316886130037122E-3</v>
      </c>
      <c r="D13" s="327"/>
      <c r="E13" s="319">
        <v>1.0613552090498217</v>
      </c>
      <c r="F13" s="339">
        <f t="shared" si="1"/>
        <v>-1.3282336606034346E-3</v>
      </c>
      <c r="G13" s="328"/>
      <c r="H13" s="320"/>
      <c r="I13" s="321"/>
      <c r="J13" s="130">
        <f>B_(A13,A15)</f>
        <v>0.49626867989791179</v>
      </c>
      <c r="K13" s="130">
        <f>A_(A13,A15,T2)</f>
        <v>0.99982748162305835</v>
      </c>
      <c r="L13" s="131">
        <f>B15/B13*K13*EXP(-J13*F13)</f>
        <v>0.99907121478713501</v>
      </c>
      <c r="M13" s="131"/>
      <c r="N13" s="346">
        <f>(1/L13-1)*360/182.5</f>
        <v>1.8338274873679217E-3</v>
      </c>
      <c r="O13" s="349"/>
      <c r="P13" s="316">
        <f>N11*182.5/360-$P$1/2</f>
        <v>-1.1733256994241206E-2</v>
      </c>
      <c r="Q13" s="131">
        <f>B_(A13,$A$15)</f>
        <v>0.49626867989791179</v>
      </c>
      <c r="R13" s="131">
        <f>A_(A13,$A$15)</f>
        <v>0.99982748162305835</v>
      </c>
      <c r="S13" s="348">
        <f>P13*B13/R13*EXP(Q13*F13)</f>
        <v>-1.1662542855479805E-2</v>
      </c>
    </row>
    <row r="14" spans="1:21" x14ac:dyDescent="0.35">
      <c r="A14" s="315">
        <v>2.75</v>
      </c>
      <c r="B14" s="130">
        <v>0.99375325098839296</v>
      </c>
      <c r="C14" s="339">
        <f t="shared" si="0"/>
        <v>2.8316886130032677E-3</v>
      </c>
      <c r="D14" s="327"/>
      <c r="E14" s="319">
        <v>1.5024120898917386</v>
      </c>
      <c r="F14" s="339">
        <f t="shared" si="1"/>
        <v>3.9593466940001333E-3</v>
      </c>
      <c r="G14" s="328"/>
      <c r="H14" s="320"/>
      <c r="I14" s="321"/>
    </row>
    <row r="15" spans="1:21" x14ac:dyDescent="0.35">
      <c r="A15" s="331">
        <v>3</v>
      </c>
      <c r="B15" s="130">
        <v>0.99304999999999999</v>
      </c>
      <c r="C15" s="339">
        <f t="shared" si="0"/>
        <v>3.3097205881440148E-3</v>
      </c>
      <c r="D15" s="327"/>
      <c r="E15" s="319">
        <v>0.49539021550278195</v>
      </c>
      <c r="F15" s="339">
        <f t="shared" si="1"/>
        <v>1.1410639064825506E-2</v>
      </c>
      <c r="G15" s="328"/>
      <c r="H15" s="320"/>
      <c r="I15" s="321"/>
      <c r="P15" s="316">
        <f>N13*182.5/360-$P$1/2</f>
        <v>-9.0703513432093177E-3</v>
      </c>
      <c r="Q15" s="131">
        <f>B_(A15,$A$15)</f>
        <v>0</v>
      </c>
      <c r="R15" s="131">
        <f>A_(A15,$A$15)</f>
        <v>1</v>
      </c>
      <c r="S15" s="348">
        <f>P15*B15/R15*EXP(Q15*F15)</f>
        <v>-9.0073124013740121E-3</v>
      </c>
    </row>
    <row r="16" spans="1:21" x14ac:dyDescent="0.35">
      <c r="A16" s="332">
        <v>3.25</v>
      </c>
      <c r="B16" s="130">
        <v>0.99222866033994395</v>
      </c>
      <c r="C16" s="136"/>
      <c r="E16" s="333"/>
    </row>
    <row r="17" spans="1:19" x14ac:dyDescent="0.35">
      <c r="A17" s="315">
        <v>3.5</v>
      </c>
      <c r="B17" s="130">
        <v>0.99140799999999996</v>
      </c>
      <c r="P17" s="126">
        <v>0.96783162086909935</v>
      </c>
      <c r="S17" s="126">
        <f>P15*P17</f>
        <v>-8.7785728423504863E-3</v>
      </c>
    </row>
  </sheetData>
  <mergeCells count="1">
    <mergeCell ref="B1:C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/>
  <dimension ref="A1:V17"/>
  <sheetViews>
    <sheetView workbookViewId="0"/>
  </sheetViews>
  <sheetFormatPr defaultColWidth="9.1796875" defaultRowHeight="12" x14ac:dyDescent="0.2"/>
  <cols>
    <col min="1" max="1" width="5.26953125" style="18" customWidth="1"/>
    <col min="2" max="3" width="8.1796875" style="18" customWidth="1"/>
    <col min="4" max="4" width="1.7265625" style="20" hidden="1" customWidth="1"/>
    <col min="5" max="5" width="9.26953125" style="18" hidden="1" customWidth="1"/>
    <col min="6" max="6" width="8.1796875" style="43" customWidth="1"/>
    <col min="7" max="7" width="1.7265625" style="19" hidden="1" customWidth="1"/>
    <col min="8" max="8" width="1.7265625" style="18" hidden="1" customWidth="1"/>
    <col min="9" max="9" width="1.7265625" style="19" hidden="1" customWidth="1"/>
    <col min="10" max="11" width="10" style="43" hidden="1" customWidth="1"/>
    <col min="12" max="12" width="8.54296875" style="18" hidden="1" customWidth="1"/>
    <col min="13" max="13" width="19" style="18" hidden="1" customWidth="1"/>
    <col min="14" max="14" width="7.81640625" style="49" customWidth="1"/>
    <col min="15" max="15" width="16" style="18" hidden="1" customWidth="1"/>
    <col min="16" max="16" width="9.81640625" style="18" customWidth="1"/>
    <col min="17" max="17" width="17.453125" style="18" customWidth="1"/>
    <col min="18" max="19" width="9.453125" style="18" customWidth="1"/>
    <col min="20" max="20" width="9.81640625" style="43" bestFit="1" customWidth="1"/>
    <col min="21" max="21" width="22.81640625" style="18" customWidth="1"/>
    <col min="22" max="16384" width="9.1796875" style="18"/>
  </cols>
  <sheetData>
    <row r="1" spans="1:22" x14ac:dyDescent="0.2">
      <c r="A1" s="48"/>
      <c r="B1" s="373" t="s">
        <v>29</v>
      </c>
      <c r="C1" s="373"/>
      <c r="J1" s="43" t="s">
        <v>48</v>
      </c>
      <c r="K1" s="43" t="s">
        <v>47</v>
      </c>
      <c r="O1" s="19"/>
      <c r="P1" s="81">
        <v>3.0000000000000001E-3</v>
      </c>
      <c r="Q1" s="80"/>
      <c r="T1" s="43" t="s">
        <v>60</v>
      </c>
      <c r="V1" s="43" t="s">
        <v>293</v>
      </c>
    </row>
    <row r="2" spans="1:22" x14ac:dyDescent="0.2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46" t="s">
        <v>40</v>
      </c>
      <c r="Q2" s="67" t="s">
        <v>59</v>
      </c>
      <c r="R2" s="46" t="s">
        <v>39</v>
      </c>
      <c r="S2" s="46" t="s">
        <v>38</v>
      </c>
      <c r="T2" s="46" t="s">
        <v>58</v>
      </c>
      <c r="U2" s="67" t="s">
        <v>57</v>
      </c>
      <c r="V2" s="43">
        <v>0.01</v>
      </c>
    </row>
    <row r="3" spans="1:22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65">
        <v>0</v>
      </c>
      <c r="G3" s="25"/>
      <c r="H3" s="26"/>
      <c r="I3" s="39"/>
      <c r="J3" s="32">
        <f>B_(A3,A5)</f>
        <v>0.49626867989791179</v>
      </c>
      <c r="K3" s="32">
        <f>A_(A3,A5,V2)</f>
        <v>1</v>
      </c>
      <c r="L3" s="51">
        <f>B5/B3*K3*EXP(-J3*F3)</f>
        <v>0.99828600000000001</v>
      </c>
      <c r="M3" s="63" t="s">
        <v>37</v>
      </c>
      <c r="N3" s="55">
        <f>(1/L3-1)*360/182.5</f>
        <v>3.3868461501919819E-3</v>
      </c>
      <c r="O3" s="61" t="s">
        <v>36</v>
      </c>
      <c r="P3" s="49"/>
      <c r="Q3" s="21"/>
      <c r="R3" s="51"/>
      <c r="S3" s="51"/>
      <c r="U3" s="79"/>
      <c r="V3" s="37"/>
    </row>
    <row r="4" spans="1:22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>x_(F3,E3,A4,$A$15,$V$2)</f>
        <v>-3.4313348413337586E-3</v>
      </c>
      <c r="G4" s="38"/>
      <c r="H4" s="26"/>
      <c r="I4" s="39"/>
      <c r="J4" s="60" t="s">
        <v>35</v>
      </c>
      <c r="K4" s="60" t="s">
        <v>34</v>
      </c>
      <c r="L4" s="51"/>
      <c r="M4" s="59"/>
      <c r="N4" s="55"/>
      <c r="O4" s="58"/>
      <c r="P4" s="49"/>
      <c r="Q4" s="21"/>
      <c r="R4" s="51"/>
      <c r="S4" s="51"/>
      <c r="T4" s="32"/>
      <c r="U4" s="79"/>
      <c r="V4" s="37"/>
    </row>
    <row r="5" spans="1:22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ref="F5:F15" si="1">x_(F4,E4,A5,$A$15,$V$2)</f>
        <v>-6.1736161548951729E-3</v>
      </c>
      <c r="G5" s="38"/>
      <c r="H5" s="26"/>
      <c r="I5" s="25"/>
      <c r="J5" s="32">
        <f>B_(A5,A7)</f>
        <v>0.49626867989791179</v>
      </c>
      <c r="K5" s="32">
        <f>A_(A5,A7,V2)</f>
        <v>0.99998782333126668</v>
      </c>
      <c r="L5" s="51">
        <f>B7/B5*K5*EXP(-J5*F5)</f>
        <v>1.0013742573343749</v>
      </c>
      <c r="M5" s="63" t="s">
        <v>33</v>
      </c>
      <c r="N5" s="55">
        <f>(1/L5-1)*360/182.5</f>
        <v>-2.7071434711060972E-3</v>
      </c>
      <c r="O5" s="61" t="s">
        <v>32</v>
      </c>
      <c r="P5" s="52"/>
      <c r="Q5" s="75"/>
      <c r="R5" s="51"/>
      <c r="S5" s="51"/>
      <c r="T5" s="32"/>
      <c r="U5" s="79"/>
      <c r="V5" s="37"/>
    </row>
    <row r="6" spans="1:22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1.451801254543153E-6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P6" s="49"/>
      <c r="Q6" s="21"/>
      <c r="R6" s="51"/>
      <c r="S6" s="51"/>
      <c r="T6" s="32"/>
      <c r="U6" s="79"/>
      <c r="V6" s="37"/>
    </row>
    <row r="7" spans="1:22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8.9722100677704069E-3</v>
      </c>
      <c r="G7" s="30"/>
      <c r="H7" s="26"/>
      <c r="I7" s="30"/>
      <c r="J7" s="32">
        <f>B_(A7,A9)</f>
        <v>0.49626867989791179</v>
      </c>
      <c r="K7" s="32">
        <f>A_(A7,A9,V2)</f>
        <v>0.99996396677176336</v>
      </c>
      <c r="L7" s="51">
        <f>B9/B7*K7*EXP(-J7*F7)</f>
        <v>0.9937793067332702</v>
      </c>
      <c r="M7" s="30" t="s">
        <v>13</v>
      </c>
      <c r="N7" s="55">
        <f>(1/L7-1)*360/182.5</f>
        <v>1.2347768259819656E-2</v>
      </c>
      <c r="O7" s="30" t="s">
        <v>13</v>
      </c>
      <c r="P7" s="52"/>
      <c r="Q7" s="75"/>
      <c r="R7" s="51"/>
      <c r="S7" s="51"/>
      <c r="T7" s="32"/>
      <c r="U7" s="79"/>
      <c r="V7" s="37"/>
    </row>
    <row r="8" spans="1:22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2.9899154950880349E-3</v>
      </c>
      <c r="G8" s="35"/>
      <c r="H8" s="26"/>
      <c r="I8" s="25"/>
      <c r="L8" s="51"/>
      <c r="M8" s="51"/>
      <c r="N8" s="55"/>
      <c r="O8" s="58"/>
      <c r="Q8" s="19"/>
      <c r="U8" s="19"/>
    </row>
    <row r="9" spans="1:22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-4.2308064677328942E-3</v>
      </c>
      <c r="G9" s="35"/>
      <c r="H9" s="26"/>
      <c r="I9" s="25"/>
      <c r="J9" s="32">
        <f>B_(A9,A11)</f>
        <v>0.49626867989791179</v>
      </c>
      <c r="K9" s="32">
        <f>A_(A9,A11,V2)</f>
        <v>0.99992895558403017</v>
      </c>
      <c r="L9" s="51">
        <f>B11/B9*K9*EXP(-J9*F9)</f>
        <v>1.0003546486445414</v>
      </c>
      <c r="M9" s="51"/>
      <c r="N9" s="55">
        <f>(1/L9-1)*360/182.5</f>
        <v>-6.993328704079793E-4</v>
      </c>
      <c r="O9" s="54"/>
      <c r="P9" s="78">
        <f>N7*182.5/360-$P$1/2</f>
        <v>4.7596325206030205E-3</v>
      </c>
      <c r="Q9" s="76" t="s">
        <v>56</v>
      </c>
      <c r="R9" s="51">
        <f>B_(A9,$A$15)</f>
        <v>1.4667506055633348</v>
      </c>
      <c r="S9" s="51">
        <f>A_(A9,$A$15,V2)</f>
        <v>0.99968796947748795</v>
      </c>
      <c r="T9" s="77">
        <f>P9*B9/S9*EXP(R9*F9)</f>
        <v>4.7073814171437094E-3</v>
      </c>
      <c r="U9" s="70" t="s">
        <v>55</v>
      </c>
    </row>
    <row r="10" spans="1:22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-7.1222030477840065E-3</v>
      </c>
      <c r="G10" s="27"/>
      <c r="H10" s="26"/>
      <c r="I10" s="25"/>
      <c r="L10" s="51"/>
      <c r="M10" s="51"/>
      <c r="N10" s="57"/>
      <c r="O10" s="56"/>
      <c r="Q10" s="19"/>
      <c r="R10" s="70" t="s">
        <v>54</v>
      </c>
      <c r="S10" s="70" t="s">
        <v>53</v>
      </c>
      <c r="U10" s="19"/>
    </row>
    <row r="11" spans="1:22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-6.642452727094619E-3</v>
      </c>
      <c r="G11" s="27"/>
      <c r="H11" s="26"/>
      <c r="I11" s="25"/>
      <c r="J11" s="32">
        <f>B_(A11,A13)</f>
        <v>0.49626867989791179</v>
      </c>
      <c r="K11" s="32">
        <f>A_(A11,A13,V2)</f>
        <v>0.99988329717551372</v>
      </c>
      <c r="L11" s="51">
        <f>B13/B11*K11*EXP(-J11*F11)</f>
        <v>1.0011879252775657</v>
      </c>
      <c r="M11" s="51"/>
      <c r="N11" s="55">
        <f>(1/L11-1)*360/182.5</f>
        <v>-2.3405242891500668E-3</v>
      </c>
      <c r="O11" s="54"/>
      <c r="P11" s="52">
        <f>N9*182.5/360-$P$1/2</f>
        <v>-1.8545229134707118E-3</v>
      </c>
      <c r="Q11" s="76" t="s">
        <v>52</v>
      </c>
      <c r="R11" s="51">
        <f>B_(A11,$A$15)</f>
        <v>0.98514888171639492</v>
      </c>
      <c r="S11" s="51">
        <f>A_(A11,$A$15,V2)</f>
        <v>0.9997229722274118</v>
      </c>
      <c r="T11" s="32">
        <f>P11*B11/S11*EXP(R11*F11)</f>
        <v>-1.8304128395311924E-3</v>
      </c>
      <c r="U11" s="70" t="s">
        <v>51</v>
      </c>
    </row>
    <row r="12" spans="1:22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-8.5860758589626374E-3</v>
      </c>
      <c r="G12" s="27"/>
      <c r="H12" s="26"/>
      <c r="I12" s="25"/>
      <c r="L12" s="51"/>
      <c r="M12" s="51"/>
      <c r="Q12" s="19"/>
      <c r="U12" s="19"/>
    </row>
    <row r="13" spans="1:22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-1.3282336606034346E-3</v>
      </c>
      <c r="G13" s="27"/>
      <c r="H13" s="26"/>
      <c r="I13" s="25"/>
      <c r="J13" s="32">
        <f>B_(A13,A15)</f>
        <v>0.49626867989791179</v>
      </c>
      <c r="K13" s="32">
        <f>A_(A13,A15,V2)</f>
        <v>0.99982748162305835</v>
      </c>
      <c r="L13" s="51">
        <f>B15/B13*K13*EXP(-J13*F13)</f>
        <v>0.99844989437582055</v>
      </c>
      <c r="M13" s="51"/>
      <c r="N13" s="55">
        <f>(1/L13-1)*360/182.5</f>
        <v>3.0624897837591165E-3</v>
      </c>
      <c r="O13" s="54"/>
      <c r="P13" s="52">
        <f>N11*182.5/360-$P$1/2</f>
        <v>-2.6865157854719089E-3</v>
      </c>
      <c r="Q13" s="30" t="s">
        <v>13</v>
      </c>
      <c r="R13" s="51">
        <f>B_(A13,$A$15)</f>
        <v>0.49626867989791179</v>
      </c>
      <c r="S13" s="51">
        <f>A_(A13,$A$15,V2)</f>
        <v>0.99982748162305835</v>
      </c>
      <c r="T13" s="32">
        <f>P13*B13/S13*EXP(R13*F13)</f>
        <v>-2.6616514344890885E-3</v>
      </c>
      <c r="U13" s="30" t="s">
        <v>13</v>
      </c>
    </row>
    <row r="14" spans="1:22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3.9593466940001333E-3</v>
      </c>
      <c r="G14" s="27"/>
      <c r="H14" s="26"/>
      <c r="I14" s="25"/>
      <c r="Q14" s="19"/>
    </row>
    <row r="15" spans="1:22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1.1410639064825506E-2</v>
      </c>
      <c r="G15" s="27"/>
      <c r="H15" s="26"/>
      <c r="I15" s="25"/>
      <c r="P15" s="52">
        <f>N13*182.5/360-$P$1/2</f>
        <v>5.251218204455196E-5</v>
      </c>
      <c r="Q15" s="75"/>
      <c r="R15" s="74">
        <f>B_(A15,$A$15)</f>
        <v>0</v>
      </c>
      <c r="S15" s="51">
        <f>A_(A15,$A$15,V2)</f>
        <v>1</v>
      </c>
      <c r="T15" s="32">
        <f>P15*B15/S15*EXP(R15*F15)</f>
        <v>5.1945523088109203E-5</v>
      </c>
    </row>
    <row r="16" spans="1:22" ht="12.5" thickBot="1" x14ac:dyDescent="0.25">
      <c r="A16" s="36">
        <v>3.25</v>
      </c>
      <c r="B16" s="32">
        <v>0.98801300000000003</v>
      </c>
      <c r="C16" s="43"/>
      <c r="E16" s="21"/>
      <c r="R16" s="73"/>
      <c r="S16" s="72" t="s">
        <v>50</v>
      </c>
      <c r="T16" s="71">
        <f>SUM(T9:T15)</f>
        <v>2.672626662115377E-4</v>
      </c>
      <c r="U16" s="70" t="s">
        <v>49</v>
      </c>
    </row>
    <row r="17" ht="12.5" thickTop="1" x14ac:dyDescent="0.2"/>
  </sheetData>
  <mergeCells count="1">
    <mergeCell ref="B1:C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33F4B-BDCD-45C6-B6BA-E5CCEA3509B2}">
  <sheetPr codeName="Sheet31"/>
  <dimension ref="A1:V17"/>
  <sheetViews>
    <sheetView workbookViewId="0">
      <selection activeCell="P2" sqref="P2"/>
    </sheetView>
  </sheetViews>
  <sheetFormatPr defaultColWidth="9.1796875" defaultRowHeight="14" x14ac:dyDescent="0.35"/>
  <cols>
    <col min="1" max="1" width="5.36328125" style="126" bestFit="1" customWidth="1"/>
    <col min="2" max="2" width="9.26953125" style="126" bestFit="1" customWidth="1"/>
    <col min="3" max="3" width="8.453125" style="126" bestFit="1" customWidth="1"/>
    <col min="4" max="4" width="1.7265625" style="311" hidden="1" customWidth="1"/>
    <col min="5" max="5" width="8.54296875" style="126" bestFit="1" customWidth="1"/>
    <col min="6" max="6" width="9.08984375" style="136" bestFit="1" customWidth="1"/>
    <col min="7" max="7" width="1.7265625" style="312" hidden="1" customWidth="1"/>
    <col min="8" max="8" width="1.7265625" style="126" hidden="1" customWidth="1"/>
    <col min="9" max="9" width="1.7265625" style="312" hidden="1" customWidth="1"/>
    <col min="10" max="11" width="9.7265625" style="136" bestFit="1" customWidth="1"/>
    <col min="12" max="12" width="9" style="126" bestFit="1" customWidth="1"/>
    <col min="13" max="13" width="19.90625" style="126" bestFit="1" customWidth="1"/>
    <col min="14" max="14" width="8.36328125" style="334" bestFit="1" customWidth="1"/>
    <col min="15" max="15" width="16.36328125" style="126" bestFit="1" customWidth="1"/>
    <col min="16" max="16" width="10" style="126" bestFit="1" customWidth="1"/>
    <col min="17" max="17" width="18.36328125" style="126" bestFit="1" customWidth="1"/>
    <col min="18" max="18" width="10.7265625" style="126" bestFit="1" customWidth="1"/>
    <col min="19" max="19" width="13" style="126" bestFit="1" customWidth="1"/>
    <col min="20" max="20" width="9" style="136" bestFit="1" customWidth="1"/>
    <col min="21" max="21" width="24.6328125" style="126" bestFit="1" customWidth="1"/>
    <col min="22" max="22" width="5.36328125" style="126" bestFit="1" customWidth="1"/>
    <col min="23" max="16384" width="9.1796875" style="126"/>
  </cols>
  <sheetData>
    <row r="1" spans="1:22" x14ac:dyDescent="0.35">
      <c r="A1" s="310"/>
      <c r="B1" s="374" t="s">
        <v>29</v>
      </c>
      <c r="C1" s="374"/>
      <c r="J1" s="136" t="s">
        <v>48</v>
      </c>
      <c r="K1" s="136" t="s">
        <v>47</v>
      </c>
      <c r="O1" s="312"/>
      <c r="P1" s="352">
        <v>2E-3</v>
      </c>
      <c r="Q1" s="353"/>
      <c r="T1" s="136" t="s">
        <v>60</v>
      </c>
      <c r="V1" s="136" t="s">
        <v>293</v>
      </c>
    </row>
    <row r="2" spans="1:22" x14ac:dyDescent="0.35">
      <c r="A2" s="129" t="s">
        <v>421</v>
      </c>
      <c r="B2" s="129" t="s">
        <v>418</v>
      </c>
      <c r="C2" s="313" t="s">
        <v>26</v>
      </c>
      <c r="D2" s="314"/>
      <c r="E2" s="129" t="s">
        <v>24</v>
      </c>
      <c r="F2" s="182" t="s">
        <v>23</v>
      </c>
      <c r="G2" s="314"/>
      <c r="H2" s="182"/>
      <c r="I2" s="314"/>
      <c r="J2" s="337" t="s">
        <v>45</v>
      </c>
      <c r="K2" s="337" t="s">
        <v>45</v>
      </c>
      <c r="L2" s="129" t="s">
        <v>44</v>
      </c>
      <c r="M2" s="337" t="s">
        <v>43</v>
      </c>
      <c r="N2" s="338" t="s">
        <v>42</v>
      </c>
      <c r="O2" s="337" t="s">
        <v>41</v>
      </c>
      <c r="P2" s="129" t="s">
        <v>40</v>
      </c>
      <c r="Q2" s="337" t="s">
        <v>59</v>
      </c>
      <c r="R2" s="129" t="s">
        <v>39</v>
      </c>
      <c r="S2" s="129" t="s">
        <v>38</v>
      </c>
      <c r="T2" s="129" t="s">
        <v>58</v>
      </c>
      <c r="U2" s="337" t="s">
        <v>57</v>
      </c>
      <c r="V2" s="136">
        <v>0.01</v>
      </c>
    </row>
    <row r="3" spans="1:22" x14ac:dyDescent="0.35">
      <c r="A3" s="315">
        <v>0</v>
      </c>
      <c r="B3" s="130">
        <v>1</v>
      </c>
      <c r="C3" s="339">
        <f t="shared" ref="C3:C15" si="0">(-1/0.25)*LN(B4/B3)</f>
        <v>1.3824777010736197E-3</v>
      </c>
      <c r="D3" s="318"/>
      <c r="E3" s="319">
        <v>-0.67507065600497307</v>
      </c>
      <c r="F3" s="128">
        <v>0</v>
      </c>
      <c r="G3" s="321"/>
      <c r="H3" s="320"/>
      <c r="I3" s="322"/>
      <c r="J3" s="130">
        <f>B_(A3,A5)</f>
        <v>0.49626867989791179</v>
      </c>
      <c r="K3" s="130">
        <f>A_(A3,A5,V2)</f>
        <v>1</v>
      </c>
      <c r="L3" s="131">
        <f>B5/B3*K3*EXP(-J3*F3)</f>
        <v>0.999309</v>
      </c>
      <c r="M3" s="341" t="s">
        <v>37</v>
      </c>
      <c r="N3" s="346">
        <f>(1/L3-1)*360/182.5</f>
        <v>1.3640110247688025E-3</v>
      </c>
      <c r="O3" s="343" t="s">
        <v>36</v>
      </c>
      <c r="P3" s="334"/>
      <c r="Q3" s="333"/>
      <c r="R3" s="131"/>
      <c r="S3" s="131"/>
      <c r="U3" s="354"/>
      <c r="V3" s="323"/>
    </row>
    <row r="4" spans="1:22" x14ac:dyDescent="0.35">
      <c r="A4" s="315">
        <v>0.25</v>
      </c>
      <c r="B4" s="130">
        <v>0.99965444029424488</v>
      </c>
      <c r="C4" s="339">
        <f t="shared" si="0"/>
        <v>1.3824777010736197E-3</v>
      </c>
      <c r="D4" s="318"/>
      <c r="E4" s="319">
        <v>-0.5430408511119118</v>
      </c>
      <c r="F4" s="339">
        <f>x_(F3,E3,A4,$A$15,$V$2)</f>
        <v>-3.4313348413337586E-3</v>
      </c>
      <c r="G4" s="325"/>
      <c r="H4" s="320"/>
      <c r="I4" s="322"/>
      <c r="J4" s="344" t="s">
        <v>35</v>
      </c>
      <c r="K4" s="344" t="s">
        <v>34</v>
      </c>
      <c r="L4" s="131"/>
      <c r="M4" s="345"/>
      <c r="N4" s="346"/>
      <c r="O4" s="347"/>
      <c r="P4" s="334"/>
      <c r="Q4" s="333"/>
      <c r="R4" s="131"/>
      <c r="S4" s="131"/>
      <c r="T4" s="130"/>
      <c r="U4" s="354"/>
      <c r="V4" s="323"/>
    </row>
    <row r="5" spans="1:22" x14ac:dyDescent="0.35">
      <c r="A5" s="315">
        <v>0.5</v>
      </c>
      <c r="B5" s="130">
        <v>0.999309</v>
      </c>
      <c r="C5" s="339">
        <f t="shared" si="0"/>
        <v>1.665844185715256E-3</v>
      </c>
      <c r="D5" s="327"/>
      <c r="E5" s="319">
        <v>1.2418480792648157</v>
      </c>
      <c r="F5" s="339">
        <f t="shared" ref="F5:F15" si="1">x_(F4,E4,A5,$A$15,$V$2)</f>
        <v>-6.1736161548951729E-3</v>
      </c>
      <c r="G5" s="325"/>
      <c r="H5" s="320"/>
      <c r="I5" s="321"/>
      <c r="J5" s="130">
        <f>B_(A5,A7)</f>
        <v>0.49626867989791179</v>
      </c>
      <c r="K5" s="130">
        <f>A_(A5,A7,V2)</f>
        <v>0.99998782333126668</v>
      </c>
      <c r="L5" s="131">
        <f>B7/B5*K5*EXP(-J5*F5)</f>
        <v>1.0022211365809683</v>
      </c>
      <c r="M5" s="341" t="s">
        <v>33</v>
      </c>
      <c r="N5" s="346">
        <f>(1/L5-1)*360/182.5</f>
        <v>-4.3717099400546406E-3</v>
      </c>
      <c r="O5" s="343" t="s">
        <v>32</v>
      </c>
      <c r="P5" s="316"/>
      <c r="Q5" s="355"/>
      <c r="R5" s="131"/>
      <c r="S5" s="131"/>
      <c r="T5" s="130"/>
      <c r="U5" s="354"/>
      <c r="V5" s="323"/>
    </row>
    <row r="6" spans="1:22" x14ac:dyDescent="0.35">
      <c r="A6" s="315">
        <v>0.75</v>
      </c>
      <c r="B6" s="130">
        <v>0.99889291337610353</v>
      </c>
      <c r="C6" s="339">
        <f t="shared" si="0"/>
        <v>1.6658441857148117E-3</v>
      </c>
      <c r="E6" s="319">
        <v>1.8111783769925407</v>
      </c>
      <c r="F6" s="339">
        <f t="shared" si="1"/>
        <v>1.451801254543153E-6</v>
      </c>
      <c r="G6" s="328"/>
      <c r="H6" s="320"/>
      <c r="I6" s="321"/>
      <c r="J6" s="344" t="s">
        <v>31</v>
      </c>
      <c r="K6" s="344" t="s">
        <v>30</v>
      </c>
      <c r="L6" s="131"/>
      <c r="M6" s="345"/>
      <c r="N6" s="346"/>
      <c r="O6" s="347"/>
      <c r="P6" s="334"/>
      <c r="Q6" s="333"/>
      <c r="R6" s="131"/>
      <c r="S6" s="131"/>
      <c r="T6" s="130"/>
      <c r="U6" s="354"/>
      <c r="V6" s="323"/>
    </row>
    <row r="7" spans="1:22" x14ac:dyDescent="0.35">
      <c r="A7" s="329">
        <v>1</v>
      </c>
      <c r="B7" s="130">
        <v>0.99847699999999995</v>
      </c>
      <c r="C7" s="339">
        <f t="shared" si="0"/>
        <v>2.6197021554802504E-3</v>
      </c>
      <c r="D7" s="327"/>
      <c r="E7" s="319">
        <v>-1.1783750715028232</v>
      </c>
      <c r="F7" s="339">
        <f t="shared" si="1"/>
        <v>8.9722100677704069E-3</v>
      </c>
      <c r="G7" s="327"/>
      <c r="H7" s="320"/>
      <c r="I7" s="327"/>
      <c r="J7" s="130">
        <f>B_(A7,A9)</f>
        <v>0.49626867989791179</v>
      </c>
      <c r="K7" s="130">
        <f>A_(A7,A9,V2)</f>
        <v>0.99996396677176336</v>
      </c>
      <c r="L7" s="131">
        <f>B9/B7*K7*EXP(-J7*F7)</f>
        <v>0.99421826712167416</v>
      </c>
      <c r="M7" s="327" t="s">
        <v>13</v>
      </c>
      <c r="N7" s="346">
        <f>(1/L7-1)*360/182.5</f>
        <v>1.1471386609268252E-2</v>
      </c>
      <c r="O7" s="327" t="s">
        <v>13</v>
      </c>
      <c r="P7" s="316"/>
      <c r="Q7" s="355"/>
      <c r="R7" s="131"/>
      <c r="S7" s="131"/>
      <c r="T7" s="130"/>
      <c r="U7" s="354"/>
      <c r="V7" s="323"/>
    </row>
    <row r="8" spans="1:22" x14ac:dyDescent="0.35">
      <c r="A8" s="329">
        <v>1.25</v>
      </c>
      <c r="B8" s="130">
        <v>0.99782328600308778</v>
      </c>
      <c r="C8" s="339">
        <f t="shared" si="0"/>
        <v>2.6197021554798059E-3</v>
      </c>
      <c r="D8" s="327"/>
      <c r="E8" s="319">
        <v>-1.4371494454763298</v>
      </c>
      <c r="F8" s="339">
        <f t="shared" si="1"/>
        <v>2.9899154950880349E-3</v>
      </c>
      <c r="G8" s="330"/>
      <c r="H8" s="320"/>
      <c r="I8" s="321"/>
      <c r="L8" s="131"/>
      <c r="M8" s="131"/>
      <c r="N8" s="346"/>
      <c r="O8" s="347"/>
      <c r="Q8" s="312"/>
      <c r="U8" s="312"/>
    </row>
    <row r="9" spans="1:22" x14ac:dyDescent="0.35">
      <c r="A9" s="329">
        <v>1.5</v>
      </c>
      <c r="B9" s="130">
        <v>0.99717</v>
      </c>
      <c r="C9" s="339">
        <f t="shared" si="0"/>
        <v>2.5588732408163015E-3</v>
      </c>
      <c r="D9" s="327"/>
      <c r="E9" s="319">
        <v>-0.58006141594203009</v>
      </c>
      <c r="F9" s="339">
        <f t="shared" si="1"/>
        <v>-4.2308064677328942E-3</v>
      </c>
      <c r="G9" s="330"/>
      <c r="H9" s="320"/>
      <c r="I9" s="321"/>
      <c r="J9" s="130">
        <f>B_(A9,A11)</f>
        <v>0.49626867989791179</v>
      </c>
      <c r="K9" s="130">
        <f>A_(A9,A11,V2)</f>
        <v>0.99992895558403017</v>
      </c>
      <c r="L9" s="131">
        <f>B11/B9*K9*EXP(-J9*F9)</f>
        <v>1.0007494138508366</v>
      </c>
      <c r="M9" s="131"/>
      <c r="N9" s="346">
        <f>(1/L9-1)*360/182.5</f>
        <v>-1.4771887896096675E-3</v>
      </c>
      <c r="O9" s="349"/>
      <c r="P9" s="356">
        <f>N7*182.5/360-$P$1/2</f>
        <v>4.8153557116429333E-3</v>
      </c>
      <c r="Q9" s="357" t="s">
        <v>56</v>
      </c>
      <c r="R9" s="131">
        <f>B_(A9,$A$15)</f>
        <v>1.4667506055633348</v>
      </c>
      <c r="S9" s="131">
        <f>A_(A9,$A$15,V2)</f>
        <v>0.99968796947748795</v>
      </c>
      <c r="T9" s="358">
        <f>P9*B9/S9*EXP(R9*F9)</f>
        <v>4.7735126929469036E-3</v>
      </c>
      <c r="U9" s="359" t="s">
        <v>55</v>
      </c>
    </row>
    <row r="10" spans="1:22" x14ac:dyDescent="0.35">
      <c r="A10" s="315">
        <v>1.75</v>
      </c>
      <c r="B10" s="130">
        <v>0.99653229608979554</v>
      </c>
      <c r="C10" s="339">
        <f t="shared" si="0"/>
        <v>2.5588732408163015E-3</v>
      </c>
      <c r="D10" s="327"/>
      <c r="E10" s="319">
        <v>9.115681248478294E-2</v>
      </c>
      <c r="F10" s="339">
        <f t="shared" si="1"/>
        <v>-7.1222030477840065E-3</v>
      </c>
      <c r="G10" s="328"/>
      <c r="H10" s="320"/>
      <c r="I10" s="321"/>
      <c r="L10" s="131"/>
      <c r="M10" s="131"/>
      <c r="N10" s="350"/>
      <c r="O10" s="351"/>
      <c r="Q10" s="312"/>
      <c r="R10" s="359" t="s">
        <v>54</v>
      </c>
      <c r="S10" s="359" t="s">
        <v>53</v>
      </c>
      <c r="U10" s="312"/>
    </row>
    <row r="11" spans="1:22" x14ac:dyDescent="0.35">
      <c r="A11" s="315">
        <v>2</v>
      </c>
      <c r="B11" s="130">
        <v>0.99589499999999997</v>
      </c>
      <c r="C11" s="339">
        <f t="shared" si="0"/>
        <v>2.8899415785847695E-3</v>
      </c>
      <c r="D11" s="327"/>
      <c r="E11" s="319">
        <v>-0.39582998146204917</v>
      </c>
      <c r="F11" s="339">
        <f t="shared" si="1"/>
        <v>-6.642452727094619E-3</v>
      </c>
      <c r="G11" s="328"/>
      <c r="H11" s="320"/>
      <c r="I11" s="321"/>
      <c r="J11" s="130">
        <f>B_(A11,A13)</f>
        <v>0.49626867989791179</v>
      </c>
      <c r="K11" s="130">
        <f>A_(A11,A13,V2)</f>
        <v>0.99988329717551372</v>
      </c>
      <c r="L11" s="131">
        <f>B13/B11*K11*EXP(-J11*F11)</f>
        <v>1.0017362663901057</v>
      </c>
      <c r="M11" s="131"/>
      <c r="N11" s="346">
        <f>(1/L11-1)*360/182.5</f>
        <v>-3.4190274954895017E-3</v>
      </c>
      <c r="O11" s="349"/>
      <c r="P11" s="316">
        <f>N9*182.5/360-$P$1/2</f>
        <v>-1.7488526502882342E-3</v>
      </c>
      <c r="Q11" s="357" t="s">
        <v>52</v>
      </c>
      <c r="R11" s="131">
        <f>B_(A11,$A$15)</f>
        <v>0.98514888171639492</v>
      </c>
      <c r="S11" s="131">
        <f>A_(A11,$A$15,V2)</f>
        <v>0.9997229722274118</v>
      </c>
      <c r="T11" s="130">
        <f>P11*B11/S11*EXP(R11*F11)</f>
        <v>-1.7307931248886888E-3</v>
      </c>
      <c r="U11" s="359" t="s">
        <v>51</v>
      </c>
    </row>
    <row r="12" spans="1:22" x14ac:dyDescent="0.35">
      <c r="A12" s="315">
        <v>2.25</v>
      </c>
      <c r="B12" s="130">
        <v>0.9951757402665119</v>
      </c>
      <c r="C12" s="339">
        <f t="shared" si="0"/>
        <v>2.8899415785847695E-3</v>
      </c>
      <c r="D12" s="327"/>
      <c r="E12" s="319">
        <v>1.4472308550796522</v>
      </c>
      <c r="F12" s="339">
        <f t="shared" si="1"/>
        <v>-8.5860758589626374E-3</v>
      </c>
      <c r="G12" s="328"/>
      <c r="H12" s="320"/>
      <c r="I12" s="321"/>
      <c r="L12" s="131"/>
      <c r="M12" s="131"/>
      <c r="Q12" s="312"/>
      <c r="U12" s="312"/>
    </row>
    <row r="13" spans="1:22" x14ac:dyDescent="0.35">
      <c r="A13" s="315">
        <v>2.5</v>
      </c>
      <c r="B13" s="130">
        <v>0.99445700000000004</v>
      </c>
      <c r="C13" s="339">
        <f t="shared" si="0"/>
        <v>2.8316886130037122E-3</v>
      </c>
      <c r="D13" s="327"/>
      <c r="E13" s="319">
        <v>1.0613552090498217</v>
      </c>
      <c r="F13" s="339">
        <f t="shared" si="1"/>
        <v>-1.3282336606034346E-3</v>
      </c>
      <c r="G13" s="328"/>
      <c r="H13" s="320"/>
      <c r="I13" s="321"/>
      <c r="J13" s="130">
        <f>B_(A13,A15)</f>
        <v>0.49626867989791179</v>
      </c>
      <c r="K13" s="130">
        <f>A_(A13,A15,V2)</f>
        <v>0.99982748162305835</v>
      </c>
      <c r="L13" s="131">
        <f>B15/B13*K13*EXP(-J13*F13)</f>
        <v>0.99907121478713501</v>
      </c>
      <c r="M13" s="131"/>
      <c r="N13" s="346">
        <f>(1/L13-1)*360/182.5</f>
        <v>1.8338274873679217E-3</v>
      </c>
      <c r="O13" s="349"/>
      <c r="P13" s="316">
        <f>N11*182.5/360-$P$1/2</f>
        <v>-2.7332569942412057E-3</v>
      </c>
      <c r="Q13" s="327" t="s">
        <v>13</v>
      </c>
      <c r="R13" s="131">
        <f>B_(A13,$A$15)</f>
        <v>0.49626867989791179</v>
      </c>
      <c r="S13" s="131">
        <f>A_(A13,$A$15,V2)</f>
        <v>0.99982748162305835</v>
      </c>
      <c r="T13" s="130">
        <f>P13*B13/S13*EXP(R13*F13)</f>
        <v>-2.7167841670921703E-3</v>
      </c>
      <c r="U13" s="327" t="s">
        <v>13</v>
      </c>
    </row>
    <row r="14" spans="1:22" x14ac:dyDescent="0.35">
      <c r="A14" s="315">
        <v>2.75</v>
      </c>
      <c r="B14" s="130">
        <v>0.99375325098839296</v>
      </c>
      <c r="C14" s="339">
        <f t="shared" si="0"/>
        <v>2.8316886130032677E-3</v>
      </c>
      <c r="D14" s="327"/>
      <c r="E14" s="319">
        <v>1.5024120898917386</v>
      </c>
      <c r="F14" s="339">
        <f t="shared" si="1"/>
        <v>3.9593466940001333E-3</v>
      </c>
      <c r="G14" s="328"/>
      <c r="H14" s="320"/>
      <c r="I14" s="321"/>
      <c r="Q14" s="312"/>
    </row>
    <row r="15" spans="1:22" x14ac:dyDescent="0.35">
      <c r="A15" s="331">
        <v>3</v>
      </c>
      <c r="B15" s="130">
        <v>0.99304999999999999</v>
      </c>
      <c r="C15" s="339">
        <f t="shared" si="0"/>
        <v>3.3097205881440148E-3</v>
      </c>
      <c r="D15" s="327"/>
      <c r="E15" s="319">
        <v>0.49539021550278195</v>
      </c>
      <c r="F15" s="339">
        <f t="shared" si="1"/>
        <v>1.1410639064825506E-2</v>
      </c>
      <c r="G15" s="328"/>
      <c r="H15" s="320"/>
      <c r="I15" s="321"/>
      <c r="P15" s="316">
        <f>N13*182.5/360-$P$1/2</f>
        <v>-7.0351343209317484E-5</v>
      </c>
      <c r="Q15" s="355"/>
      <c r="R15" s="360">
        <f>B_(A15,$A$15)</f>
        <v>0</v>
      </c>
      <c r="S15" s="131">
        <f>A_(A15,$A$15,V2)</f>
        <v>1</v>
      </c>
      <c r="T15" s="130">
        <f>P15*B15/S15*EXP(R15*F15)</f>
        <v>-6.9862401374012724E-5</v>
      </c>
    </row>
    <row r="16" spans="1:22" ht="14.5" thickBot="1" x14ac:dyDescent="0.4">
      <c r="A16" s="329">
        <v>3.25</v>
      </c>
      <c r="B16" s="130">
        <v>0.99222866033994395</v>
      </c>
      <c r="C16" s="136"/>
      <c r="E16" s="333"/>
      <c r="R16" s="361"/>
      <c r="S16" s="362" t="s">
        <v>50</v>
      </c>
      <c r="T16" s="363">
        <f>SUM(T9:T15)</f>
        <v>2.560729995920318E-4</v>
      </c>
      <c r="U16" s="359" t="s">
        <v>49</v>
      </c>
    </row>
    <row r="17" spans="1:2" ht="14.5" thickTop="1" x14ac:dyDescent="0.35">
      <c r="A17" s="315">
        <v>3.5</v>
      </c>
      <c r="B17" s="130">
        <v>0.99140799999999996</v>
      </c>
    </row>
  </sheetData>
  <mergeCells count="1">
    <mergeCell ref="B1:C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69"/>
  <sheetViews>
    <sheetView workbookViewId="0"/>
  </sheetViews>
  <sheetFormatPr defaultColWidth="9.1796875" defaultRowHeight="12.5" x14ac:dyDescent="0.25"/>
  <cols>
    <col min="1" max="1" width="83.1796875" style="82" customWidth="1"/>
    <col min="2" max="16384" width="9.1796875" style="82"/>
  </cols>
  <sheetData>
    <row r="1" spans="1:1" x14ac:dyDescent="0.25">
      <c r="A1" s="82" t="s">
        <v>122</v>
      </c>
    </row>
    <row r="2" spans="1:1" x14ac:dyDescent="0.25">
      <c r="A2" s="82" t="s">
        <v>121</v>
      </c>
    </row>
    <row r="3" spans="1:1" x14ac:dyDescent="0.25">
      <c r="A3" s="82" t="s">
        <v>120</v>
      </c>
    </row>
    <row r="4" spans="1:1" x14ac:dyDescent="0.25">
      <c r="A4" s="82" t="s">
        <v>119</v>
      </c>
    </row>
    <row r="5" spans="1:1" x14ac:dyDescent="0.25">
      <c r="A5" s="82" t="s">
        <v>118</v>
      </c>
    </row>
    <row r="6" spans="1:1" x14ac:dyDescent="0.25">
      <c r="A6" s="82" t="s">
        <v>117</v>
      </c>
    </row>
    <row r="7" spans="1:1" x14ac:dyDescent="0.25">
      <c r="A7" s="82" t="s">
        <v>116</v>
      </c>
    </row>
    <row r="8" spans="1:1" x14ac:dyDescent="0.25">
      <c r="A8" s="82" t="s">
        <v>115</v>
      </c>
    </row>
    <row r="9" spans="1:1" x14ac:dyDescent="0.25">
      <c r="A9" s="82" t="s">
        <v>114</v>
      </c>
    </row>
    <row r="10" spans="1:1" x14ac:dyDescent="0.25">
      <c r="A10" s="82" t="s">
        <v>113</v>
      </c>
    </row>
    <row r="11" spans="1:1" x14ac:dyDescent="0.25">
      <c r="A11" s="82" t="s">
        <v>112</v>
      </c>
    </row>
    <row r="12" spans="1:1" x14ac:dyDescent="0.25">
      <c r="A12" s="82" t="s">
        <v>111</v>
      </c>
    </row>
    <row r="13" spans="1:1" x14ac:dyDescent="0.25">
      <c r="A13" s="82" t="s">
        <v>110</v>
      </c>
    </row>
    <row r="14" spans="1:1" x14ac:dyDescent="0.25">
      <c r="A14" s="82" t="s">
        <v>109</v>
      </c>
    </row>
    <row r="16" spans="1:1" x14ac:dyDescent="0.25">
      <c r="A16" s="82" t="s">
        <v>108</v>
      </c>
    </row>
    <row r="17" spans="1:1" x14ac:dyDescent="0.25">
      <c r="A17" s="82" t="s">
        <v>107</v>
      </c>
    </row>
    <row r="18" spans="1:1" x14ac:dyDescent="0.25">
      <c r="A18" s="82" t="s">
        <v>106</v>
      </c>
    </row>
    <row r="19" spans="1:1" x14ac:dyDescent="0.25">
      <c r="A19" s="82" t="s">
        <v>105</v>
      </c>
    </row>
    <row r="20" spans="1:1" x14ac:dyDescent="0.25">
      <c r="A20" s="82" t="s">
        <v>104</v>
      </c>
    </row>
    <row r="22" spans="1:1" x14ac:dyDescent="0.25">
      <c r="A22" s="82" t="s">
        <v>103</v>
      </c>
    </row>
    <row r="23" spans="1:1" x14ac:dyDescent="0.25">
      <c r="A23" s="82" t="s">
        <v>102</v>
      </c>
    </row>
    <row r="24" spans="1:1" x14ac:dyDescent="0.25">
      <c r="A24" s="82" t="s">
        <v>101</v>
      </c>
    </row>
    <row r="25" spans="1:1" x14ac:dyDescent="0.25">
      <c r="A25" s="82" t="s">
        <v>100</v>
      </c>
    </row>
    <row r="26" spans="1:1" x14ac:dyDescent="0.25">
      <c r="A26" s="82" t="s">
        <v>99</v>
      </c>
    </row>
    <row r="27" spans="1:1" x14ac:dyDescent="0.25">
      <c r="A27" s="82" t="s">
        <v>98</v>
      </c>
    </row>
    <row r="28" spans="1:1" x14ac:dyDescent="0.25">
      <c r="A28" s="82" t="s">
        <v>97</v>
      </c>
    </row>
    <row r="29" spans="1:1" x14ac:dyDescent="0.25">
      <c r="A29" s="82" t="s">
        <v>96</v>
      </c>
    </row>
    <row r="30" spans="1:1" x14ac:dyDescent="0.25">
      <c r="A30" s="82" t="s">
        <v>95</v>
      </c>
    </row>
    <row r="31" spans="1:1" x14ac:dyDescent="0.25">
      <c r="A31" s="82" t="s">
        <v>94</v>
      </c>
    </row>
    <row r="32" spans="1:1" x14ac:dyDescent="0.25">
      <c r="A32" s="82" t="s">
        <v>93</v>
      </c>
    </row>
    <row r="33" spans="1:1" x14ac:dyDescent="0.25">
      <c r="A33" s="82" t="s">
        <v>92</v>
      </c>
    </row>
    <row r="34" spans="1:1" x14ac:dyDescent="0.25">
      <c r="A34" s="82" t="s">
        <v>91</v>
      </c>
    </row>
    <row r="35" spans="1:1" x14ac:dyDescent="0.25">
      <c r="A35" s="82" t="s">
        <v>90</v>
      </c>
    </row>
    <row r="37" spans="1:1" x14ac:dyDescent="0.25">
      <c r="A37" s="82" t="s">
        <v>89</v>
      </c>
    </row>
    <row r="38" spans="1:1" x14ac:dyDescent="0.25">
      <c r="A38" s="82" t="s">
        <v>88</v>
      </c>
    </row>
    <row r="39" spans="1:1" x14ac:dyDescent="0.25">
      <c r="A39" s="82" t="s">
        <v>87</v>
      </c>
    </row>
    <row r="40" spans="1:1" x14ac:dyDescent="0.25">
      <c r="A40" s="82" t="s">
        <v>86</v>
      </c>
    </row>
    <row r="42" spans="1:1" x14ac:dyDescent="0.25">
      <c r="A42" s="82" t="s">
        <v>85</v>
      </c>
    </row>
    <row r="43" spans="1:1" x14ac:dyDescent="0.25">
      <c r="A43" s="82" t="s">
        <v>84</v>
      </c>
    </row>
    <row r="44" spans="1:1" x14ac:dyDescent="0.25">
      <c r="A44" s="82" t="s">
        <v>83</v>
      </c>
    </row>
    <row r="45" spans="1:1" x14ac:dyDescent="0.25">
      <c r="A45" s="82" t="s">
        <v>82</v>
      </c>
    </row>
    <row r="46" spans="1:1" x14ac:dyDescent="0.25">
      <c r="A46" s="82" t="s">
        <v>81</v>
      </c>
    </row>
    <row r="48" spans="1:1" x14ac:dyDescent="0.25">
      <c r="A48" s="82" t="s">
        <v>80</v>
      </c>
    </row>
    <row r="49" spans="1:1" x14ac:dyDescent="0.25">
      <c r="A49" s="82" t="s">
        <v>79</v>
      </c>
    </row>
    <row r="50" spans="1:1" x14ac:dyDescent="0.25">
      <c r="A50" s="82" t="s">
        <v>78</v>
      </c>
    </row>
    <row r="51" spans="1:1" x14ac:dyDescent="0.25">
      <c r="A51" s="82" t="s">
        <v>77</v>
      </c>
    </row>
    <row r="52" spans="1:1" x14ac:dyDescent="0.25">
      <c r="A52" s="82" t="s">
        <v>76</v>
      </c>
    </row>
    <row r="53" spans="1:1" x14ac:dyDescent="0.25">
      <c r="A53" s="82" t="s">
        <v>75</v>
      </c>
    </row>
    <row r="54" spans="1:1" x14ac:dyDescent="0.25">
      <c r="A54" s="82" t="s">
        <v>74</v>
      </c>
    </row>
    <row r="55" spans="1:1" x14ac:dyDescent="0.25">
      <c r="A55" s="82" t="s">
        <v>73</v>
      </c>
    </row>
    <row r="57" spans="1:1" x14ac:dyDescent="0.25">
      <c r="A57" s="82" t="s">
        <v>72</v>
      </c>
    </row>
    <row r="58" spans="1:1" x14ac:dyDescent="0.25">
      <c r="A58" s="82" t="s">
        <v>71</v>
      </c>
    </row>
    <row r="59" spans="1:1" x14ac:dyDescent="0.25">
      <c r="A59" s="82" t="s">
        <v>70</v>
      </c>
    </row>
    <row r="60" spans="1:1" x14ac:dyDescent="0.25">
      <c r="A60" s="82" t="s">
        <v>69</v>
      </c>
    </row>
    <row r="61" spans="1:1" x14ac:dyDescent="0.25">
      <c r="A61" s="82" t="s">
        <v>68</v>
      </c>
    </row>
    <row r="62" spans="1:1" x14ac:dyDescent="0.25">
      <c r="A62" s="82" t="s">
        <v>67</v>
      </c>
    </row>
    <row r="63" spans="1:1" x14ac:dyDescent="0.25">
      <c r="A63" s="82" t="s">
        <v>66</v>
      </c>
    </row>
    <row r="64" spans="1:1" x14ac:dyDescent="0.25">
      <c r="A64" s="82" t="s">
        <v>65</v>
      </c>
    </row>
    <row r="65" spans="1:1" x14ac:dyDescent="0.25">
      <c r="A65" s="82" t="s">
        <v>64</v>
      </c>
    </row>
    <row r="67" spans="1:1" x14ac:dyDescent="0.25">
      <c r="A67" s="82" t="s">
        <v>63</v>
      </c>
    </row>
    <row r="68" spans="1:1" x14ac:dyDescent="0.25">
      <c r="A68" s="82" t="s">
        <v>62</v>
      </c>
    </row>
    <row r="69" spans="1:1" x14ac:dyDescent="0.25">
      <c r="A69" s="82" t="s">
        <v>61</v>
      </c>
    </row>
  </sheetData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AC27"/>
  <sheetViews>
    <sheetView workbookViewId="0"/>
  </sheetViews>
  <sheetFormatPr defaultColWidth="9.1796875" defaultRowHeight="12.5" x14ac:dyDescent="0.25"/>
  <cols>
    <col min="1" max="1" width="4.81640625" style="18" customWidth="1"/>
    <col min="2" max="2" width="8.26953125" style="18" customWidth="1"/>
    <col min="3" max="3" width="9.7265625" style="18" bestFit="1" customWidth="1"/>
    <col min="4" max="4" width="8.1796875" style="18" customWidth="1"/>
    <col min="5" max="10" width="7" style="18" customWidth="1"/>
    <col min="11" max="11" width="9.7265625" style="18" customWidth="1"/>
    <col min="12" max="13" width="8.81640625" style="82" customWidth="1"/>
    <col min="14" max="14" width="8.81640625" style="18" customWidth="1"/>
    <col min="15" max="15" width="19.81640625" style="18" customWidth="1"/>
    <col min="16" max="16" width="8.453125" style="49" customWidth="1"/>
    <col min="17" max="17" width="15.54296875" style="49" customWidth="1"/>
    <col min="18" max="18" width="9.81640625" style="18" customWidth="1"/>
    <col min="19" max="19" width="8.54296875" style="18" customWidth="1"/>
    <col min="20" max="21" width="9" style="18" customWidth="1"/>
    <col min="22" max="22" width="9.81640625" style="18" bestFit="1" customWidth="1"/>
    <col min="23" max="23" width="23.453125" style="18" customWidth="1"/>
    <col min="24" max="29" width="9.1796875" style="82"/>
    <col min="30" max="16384" width="9.1796875" style="18"/>
  </cols>
  <sheetData>
    <row r="1" spans="1:23" x14ac:dyDescent="0.25">
      <c r="A1" s="48"/>
      <c r="B1" s="46" t="s">
        <v>29</v>
      </c>
      <c r="R1" s="69">
        <v>0.02</v>
      </c>
      <c r="S1" s="80"/>
      <c r="V1" s="43" t="s">
        <v>159</v>
      </c>
    </row>
    <row r="2" spans="1:23" x14ac:dyDescent="0.25">
      <c r="A2" s="46" t="s">
        <v>28</v>
      </c>
      <c r="B2" s="46" t="s">
        <v>27</v>
      </c>
      <c r="C2" s="46" t="s">
        <v>24</v>
      </c>
      <c r="D2" s="45" t="s">
        <v>158</v>
      </c>
      <c r="E2" s="46" t="s">
        <v>157</v>
      </c>
      <c r="F2" s="46" t="s">
        <v>156</v>
      </c>
      <c r="G2" s="46" t="s">
        <v>155</v>
      </c>
      <c r="H2" s="46" t="s">
        <v>154</v>
      </c>
      <c r="I2" s="46" t="s">
        <v>153</v>
      </c>
      <c r="J2" s="46" t="s">
        <v>152</v>
      </c>
      <c r="K2" s="67" t="s">
        <v>151</v>
      </c>
      <c r="L2" s="46" t="s">
        <v>150</v>
      </c>
      <c r="M2" s="46" t="s">
        <v>149</v>
      </c>
      <c r="N2" s="46" t="s">
        <v>148</v>
      </c>
      <c r="O2" s="67" t="s">
        <v>147</v>
      </c>
      <c r="P2" s="46" t="s">
        <v>146</v>
      </c>
      <c r="Q2" s="67" t="s">
        <v>145</v>
      </c>
      <c r="R2" s="46" t="s">
        <v>40</v>
      </c>
      <c r="S2" s="101" t="s">
        <v>144</v>
      </c>
      <c r="T2" s="46" t="s">
        <v>143</v>
      </c>
      <c r="U2" s="46" t="s">
        <v>142</v>
      </c>
      <c r="V2" s="100" t="s">
        <v>58</v>
      </c>
      <c r="W2" s="99" t="s">
        <v>141</v>
      </c>
    </row>
    <row r="3" spans="1:23" x14ac:dyDescent="0.25">
      <c r="A3" s="34">
        <v>0</v>
      </c>
      <c r="B3" s="32">
        <v>1</v>
      </c>
      <c r="C3" s="86">
        <v>-0.67507065600497307</v>
      </c>
      <c r="D3" s="26">
        <v>0</v>
      </c>
      <c r="E3" s="87">
        <f t="shared" ref="E3:E11" si="0">B_(A3,A7)</f>
        <v>0.98514888171639492</v>
      </c>
      <c r="F3" s="87">
        <f t="shared" ref="F3:F11" si="1">A_(A3,A7)</f>
        <v>1</v>
      </c>
      <c r="G3" s="87">
        <f t="shared" ref="G3:G11" si="2">B_(A3,A11)</f>
        <v>1.9411822138583761</v>
      </c>
      <c r="H3" s="87">
        <f t="shared" ref="H3:H11" si="3">A_(A3,A11)</f>
        <v>1</v>
      </c>
      <c r="I3" s="87">
        <f t="shared" ref="I3:I11" si="4">B_(A3,A15)</f>
        <v>2.8689604909590605</v>
      </c>
      <c r="J3" s="87">
        <f t="shared" ref="J3:J11" si="5">A_(A3,A15)</f>
        <v>1</v>
      </c>
      <c r="K3" s="88" t="s">
        <v>140</v>
      </c>
      <c r="L3" s="52">
        <f t="shared" ref="L3:L11" si="6">B7/B3*F3*EXP(-E3*D3)</f>
        <v>0.99661200000000005</v>
      </c>
      <c r="M3" s="52">
        <f t="shared" ref="M3:M11" si="7">B11/B3*H3*EXP(-G3*D3)</f>
        <v>0.99320399999999998</v>
      </c>
      <c r="N3" s="52">
        <f t="shared" ref="N3:N11" si="8">B15/B3*J3*EXP(-I3*D3)</f>
        <v>0.989209</v>
      </c>
      <c r="O3" s="76" t="s">
        <v>139</v>
      </c>
      <c r="P3" s="93">
        <f t="shared" ref="P3:P11" si="9">(1-N3)/SUM(L3:N3)</f>
        <v>3.6223260966255721E-3</v>
      </c>
      <c r="Q3" s="98" t="s">
        <v>138</v>
      </c>
      <c r="R3" s="49"/>
      <c r="S3" s="94"/>
      <c r="T3" s="51"/>
      <c r="U3" s="51"/>
      <c r="W3" s="19"/>
    </row>
    <row r="4" spans="1:23" x14ac:dyDescent="0.25">
      <c r="A4" s="34">
        <v>0.25</v>
      </c>
      <c r="B4" s="32">
        <v>0.99950000000000006</v>
      </c>
      <c r="C4" s="86">
        <v>-0.5430408511119118</v>
      </c>
      <c r="D4" s="28">
        <f t="shared" ref="D4:D23" si="10">x_(D3,C3,A4,$A$23)</f>
        <v>-3.4756879311797226E-3</v>
      </c>
      <c r="E4" s="87">
        <f t="shared" si="0"/>
        <v>0.98514888171639492</v>
      </c>
      <c r="F4" s="87">
        <f t="shared" si="1"/>
        <v>0.99998490356630498</v>
      </c>
      <c r="G4" s="87">
        <f t="shared" si="2"/>
        <v>1.9411822138583761</v>
      </c>
      <c r="H4" s="87">
        <f t="shared" si="3"/>
        <v>0.99994722964911942</v>
      </c>
      <c r="I4" s="87">
        <f t="shared" si="4"/>
        <v>2.8689604909590605</v>
      </c>
      <c r="J4" s="87">
        <f t="shared" si="5"/>
        <v>0.99988898873622789</v>
      </c>
      <c r="K4" s="88" t="s">
        <v>137</v>
      </c>
      <c r="L4" s="52">
        <f t="shared" si="6"/>
        <v>0.99965512246427357</v>
      </c>
      <c r="M4" s="52">
        <f t="shared" si="7"/>
        <v>0.99938104290479113</v>
      </c>
      <c r="N4" s="52">
        <f t="shared" si="8"/>
        <v>0.99830273752486498</v>
      </c>
      <c r="O4" s="76" t="s">
        <v>136</v>
      </c>
      <c r="P4" s="93">
        <f t="shared" si="9"/>
        <v>5.662564461750766E-4</v>
      </c>
      <c r="Q4" s="98" t="s">
        <v>135</v>
      </c>
      <c r="R4" s="49"/>
      <c r="S4" s="94"/>
      <c r="T4" s="51"/>
      <c r="U4" s="51"/>
      <c r="V4" s="50"/>
      <c r="W4" s="19"/>
    </row>
    <row r="5" spans="1:23" x14ac:dyDescent="0.25">
      <c r="A5" s="34">
        <v>0.5</v>
      </c>
      <c r="B5" s="32">
        <v>0.99828600000000001</v>
      </c>
      <c r="C5" s="86">
        <v>1.2418480792648157</v>
      </c>
      <c r="D5" s="28">
        <f t="shared" si="10"/>
        <v>-6.2623248294600992E-3</v>
      </c>
      <c r="E5" s="87">
        <f t="shared" si="0"/>
        <v>0.98514888171639492</v>
      </c>
      <c r="F5" s="87">
        <f t="shared" si="1"/>
        <v>0.99996396677176336</v>
      </c>
      <c r="G5" s="87">
        <f t="shared" si="2"/>
        <v>1.9411822138583761</v>
      </c>
      <c r="H5" s="87">
        <f t="shared" si="3"/>
        <v>0.99988329717551372</v>
      </c>
      <c r="I5" s="87">
        <f t="shared" si="4"/>
        <v>2.8689604909590605</v>
      </c>
      <c r="J5" s="87">
        <f t="shared" si="5"/>
        <v>0.99976198218490964</v>
      </c>
      <c r="K5" s="87"/>
      <c r="L5" s="52">
        <f t="shared" si="6"/>
        <v>1.0027072029367967</v>
      </c>
      <c r="M5" s="52">
        <f t="shared" si="7"/>
        <v>1.0049556037794278</v>
      </c>
      <c r="N5" s="52">
        <f t="shared" si="8"/>
        <v>1.0061473489503314</v>
      </c>
      <c r="O5" s="52"/>
      <c r="P5" s="93">
        <f t="shared" si="9"/>
        <v>-2.039726669170982E-3</v>
      </c>
      <c r="Q5" s="93"/>
      <c r="R5" s="52"/>
      <c r="S5" s="95"/>
      <c r="T5" s="51"/>
      <c r="U5" s="51"/>
      <c r="V5" s="50"/>
      <c r="W5" s="19"/>
    </row>
    <row r="6" spans="1:23" x14ac:dyDescent="0.25">
      <c r="A6" s="34">
        <v>0.75</v>
      </c>
      <c r="B6" s="32">
        <v>0.99744299999999997</v>
      </c>
      <c r="C6" s="86">
        <v>1.8111783769925407</v>
      </c>
      <c r="D6" s="28">
        <f t="shared" si="10"/>
        <v>-1.3161744791567991E-4</v>
      </c>
      <c r="E6" s="87">
        <f t="shared" si="0"/>
        <v>0.98514888171639492</v>
      </c>
      <c r="F6" s="87">
        <f t="shared" si="1"/>
        <v>0.99993732225423015</v>
      </c>
      <c r="G6" s="87">
        <f t="shared" si="2"/>
        <v>1.9411822138583761</v>
      </c>
      <c r="H6" s="87">
        <f t="shared" si="3"/>
        <v>0.99980846021717995</v>
      </c>
      <c r="I6" s="87">
        <f t="shared" si="4"/>
        <v>2.8689604909590605</v>
      </c>
      <c r="J6" s="87">
        <f t="shared" si="5"/>
        <v>0.99961935666602642</v>
      </c>
      <c r="K6" s="88" t="s">
        <v>13</v>
      </c>
      <c r="L6" s="52">
        <f t="shared" si="6"/>
        <v>0.99664199880259485</v>
      </c>
      <c r="M6" s="52">
        <f t="shared" si="7"/>
        <v>0.99283699721745289</v>
      </c>
      <c r="N6" s="52">
        <f t="shared" si="8"/>
        <v>0.98801127944741174</v>
      </c>
      <c r="O6" s="97" t="s">
        <v>13</v>
      </c>
      <c r="P6" s="93">
        <f t="shared" si="9"/>
        <v>4.0264516231563706E-3</v>
      </c>
      <c r="Q6" s="97" t="s">
        <v>13</v>
      </c>
      <c r="R6" s="49"/>
      <c r="S6" s="94"/>
      <c r="T6" s="51"/>
      <c r="U6" s="51"/>
      <c r="V6" s="50"/>
      <c r="W6" s="19"/>
    </row>
    <row r="7" spans="1:23" x14ac:dyDescent="0.25">
      <c r="A7" s="36">
        <v>1</v>
      </c>
      <c r="B7" s="32">
        <v>0.99661200000000005</v>
      </c>
      <c r="C7" s="86">
        <v>-1.1783750715028232</v>
      </c>
      <c r="D7" s="28">
        <f t="shared" si="10"/>
        <v>8.7947727588145331E-3</v>
      </c>
      <c r="E7" s="87">
        <f t="shared" si="0"/>
        <v>0.98514888171639492</v>
      </c>
      <c r="F7" s="87">
        <f t="shared" si="1"/>
        <v>0.99990510042892577</v>
      </c>
      <c r="G7" s="87">
        <f t="shared" si="2"/>
        <v>1.9411822138583761</v>
      </c>
      <c r="H7" s="87">
        <f t="shared" si="3"/>
        <v>0.9997229722274118</v>
      </c>
      <c r="I7" s="87">
        <f t="shared" si="4"/>
        <v>2.8689604909590605</v>
      </c>
      <c r="J7" s="87">
        <f t="shared" si="5"/>
        <v>0.99946148253533751</v>
      </c>
      <c r="K7" s="87"/>
      <c r="L7" s="52">
        <f t="shared" si="6"/>
        <v>0.98788942024751569</v>
      </c>
      <c r="M7" s="52">
        <f t="shared" si="7"/>
        <v>0.97549990583094293</v>
      </c>
      <c r="N7" s="52">
        <f t="shared" si="8"/>
        <v>0.96238224867497058</v>
      </c>
      <c r="O7" s="52"/>
      <c r="P7" s="93">
        <f t="shared" si="9"/>
        <v>1.2857378084343334E-2</v>
      </c>
      <c r="Q7" s="93"/>
      <c r="R7" s="52">
        <f>P3-$R$1</f>
        <v>-1.637767390337443E-2</v>
      </c>
      <c r="S7" s="92" t="s">
        <v>134</v>
      </c>
      <c r="T7" s="87">
        <f>B_(A7,$A$23)</f>
        <v>3.7693187760947509</v>
      </c>
      <c r="U7" s="87">
        <f>A_(A7,$A$23)</f>
        <v>0.99912797431830624</v>
      </c>
      <c r="V7" s="77">
        <f>R7*B7/U7*EXP(T7*D7)</f>
        <v>-1.6887066210514102E-2</v>
      </c>
      <c r="W7" s="70" t="s">
        <v>133</v>
      </c>
    </row>
    <row r="8" spans="1:23" ht="12.75" customHeight="1" x14ac:dyDescent="0.25">
      <c r="A8" s="36">
        <v>1.25</v>
      </c>
      <c r="B8" s="32">
        <v>0.99575499999999995</v>
      </c>
      <c r="C8" s="86">
        <v>-1.4371494454763298</v>
      </c>
      <c r="D8" s="28">
        <f t="shared" si="10"/>
        <v>2.768100145451099E-3</v>
      </c>
      <c r="E8" s="87">
        <f t="shared" si="0"/>
        <v>0.98514888171639492</v>
      </c>
      <c r="F8" s="87">
        <f t="shared" si="1"/>
        <v>0.99986742951828234</v>
      </c>
      <c r="G8" s="87">
        <f t="shared" si="2"/>
        <v>1.9411822138583761</v>
      </c>
      <c r="H8" s="87">
        <f t="shared" si="3"/>
        <v>0.99962708252081389</v>
      </c>
      <c r="I8" s="87">
        <f t="shared" si="4"/>
        <v>2.8689604909590605</v>
      </c>
      <c r="J8" s="87">
        <f t="shared" si="5"/>
        <v>0.99928872423640625</v>
      </c>
      <c r="K8" s="87"/>
      <c r="L8" s="52">
        <f t="shared" si="6"/>
        <v>0.99360157758262502</v>
      </c>
      <c r="M8" s="52">
        <f t="shared" si="7"/>
        <v>0.98653965009326039</v>
      </c>
      <c r="N8" s="52">
        <f t="shared" si="8"/>
        <v>0.97822126379210761</v>
      </c>
      <c r="O8" s="52"/>
      <c r="P8" s="93">
        <f t="shared" si="9"/>
        <v>7.3617537643554248E-3</v>
      </c>
      <c r="Q8" s="93"/>
      <c r="S8" s="92"/>
      <c r="T8" s="96" t="s">
        <v>132</v>
      </c>
      <c r="U8" s="88" t="s">
        <v>131</v>
      </c>
      <c r="V8" s="43"/>
      <c r="W8" s="19"/>
    </row>
    <row r="9" spans="1:23" x14ac:dyDescent="0.25">
      <c r="A9" s="36">
        <v>1.5</v>
      </c>
      <c r="B9" s="32">
        <v>0.99486799999999997</v>
      </c>
      <c r="C9" s="86">
        <v>-0.58006141594203009</v>
      </c>
      <c r="D9" s="28">
        <f t="shared" si="10"/>
        <v>-4.4970123352227973E-3</v>
      </c>
      <c r="E9" s="87">
        <f t="shared" si="0"/>
        <v>0.98514888171639492</v>
      </c>
      <c r="F9" s="87">
        <f t="shared" si="1"/>
        <v>0.99982443558157141</v>
      </c>
      <c r="G9" s="87">
        <f t="shared" si="2"/>
        <v>1.9411822138583761</v>
      </c>
      <c r="H9" s="87">
        <f t="shared" si="3"/>
        <v>0.99952103631949574</v>
      </c>
      <c r="I9" s="87">
        <f t="shared" si="4"/>
        <v>2.8689604909590605</v>
      </c>
      <c r="J9" s="87">
        <f t="shared" si="5"/>
        <v>0.99910144035368731</v>
      </c>
      <c r="K9" s="87"/>
      <c r="L9" s="52">
        <f t="shared" si="6"/>
        <v>1.0005883244483527</v>
      </c>
      <c r="M9" s="52">
        <f t="shared" si="7"/>
        <v>1.0000804032445716</v>
      </c>
      <c r="N9" s="52">
        <f t="shared" si="8"/>
        <v>0.99780244855610345</v>
      </c>
      <c r="O9" s="52"/>
      <c r="P9" s="93">
        <f t="shared" si="9"/>
        <v>7.3289063483531727E-4</v>
      </c>
      <c r="Q9" s="93"/>
      <c r="R9" s="52"/>
      <c r="S9" s="95"/>
      <c r="T9" s="87"/>
      <c r="U9" s="87"/>
      <c r="V9" s="32"/>
      <c r="W9" s="19"/>
    </row>
    <row r="10" spans="1:23" x14ac:dyDescent="0.25">
      <c r="A10" s="34">
        <v>1.75</v>
      </c>
      <c r="B10" s="32">
        <v>0.99402699999999999</v>
      </c>
      <c r="C10" s="86">
        <v>9.115681248478294E-2</v>
      </c>
      <c r="D10" s="28">
        <f t="shared" si="10"/>
        <v>-7.4328144072771159E-3</v>
      </c>
      <c r="E10" s="87">
        <f t="shared" si="0"/>
        <v>0.98514888171639492</v>
      </c>
      <c r="F10" s="87">
        <f t="shared" si="1"/>
        <v>0.99977624254430586</v>
      </c>
      <c r="G10" s="87">
        <f t="shared" si="2"/>
        <v>1.9411822138583761</v>
      </c>
      <c r="H10" s="87">
        <f t="shared" si="3"/>
        <v>0.99940507479941254</v>
      </c>
      <c r="I10" s="87">
        <f t="shared" si="4"/>
        <v>2.8689604909590605</v>
      </c>
      <c r="J10" s="87">
        <f t="shared" si="5"/>
        <v>0.9988999836665966</v>
      </c>
      <c r="K10" s="87"/>
      <c r="L10" s="52">
        <f t="shared" si="6"/>
        <v>1.0032819395491273</v>
      </c>
      <c r="M10" s="52">
        <f t="shared" si="7"/>
        <v>1.0052194999565789</v>
      </c>
      <c r="N10" s="52">
        <f t="shared" si="8"/>
        <v>1.0050969957245723</v>
      </c>
      <c r="O10" s="52"/>
      <c r="P10" s="93">
        <f t="shared" si="9"/>
        <v>-1.6913320849208837E-3</v>
      </c>
      <c r="Q10" s="93"/>
      <c r="S10" s="94"/>
      <c r="T10" s="87"/>
      <c r="U10" s="87"/>
      <c r="V10" s="43"/>
      <c r="W10" s="19"/>
    </row>
    <row r="11" spans="1:23" x14ac:dyDescent="0.25">
      <c r="A11" s="34">
        <v>2</v>
      </c>
      <c r="B11" s="32">
        <v>0.99320399999999998</v>
      </c>
      <c r="C11" s="86">
        <v>-0.39582998146204917</v>
      </c>
      <c r="D11" s="28">
        <f t="shared" si="10"/>
        <v>-6.997487050561804E-3</v>
      </c>
      <c r="E11" s="87">
        <f t="shared" si="0"/>
        <v>0.98514888171639492</v>
      </c>
      <c r="F11" s="87">
        <f t="shared" si="1"/>
        <v>0.9997229722274118</v>
      </c>
      <c r="G11" s="87">
        <f t="shared" si="2"/>
        <v>1.9411822138583761</v>
      </c>
      <c r="H11" s="87">
        <f t="shared" si="3"/>
        <v>0.99927943513682083</v>
      </c>
      <c r="I11" s="87">
        <f t="shared" si="4"/>
        <v>2.8689604909590605</v>
      </c>
      <c r="J11" s="87">
        <f t="shared" si="5"/>
        <v>0.9986847012044856</v>
      </c>
      <c r="K11" s="88" t="s">
        <v>130</v>
      </c>
      <c r="L11" s="52">
        <f t="shared" si="6"/>
        <v>1.0025893999657867</v>
      </c>
      <c r="M11" s="52">
        <f t="shared" si="7"/>
        <v>1.0037218863384234</v>
      </c>
      <c r="N11" s="52">
        <f t="shared" si="8"/>
        <v>1.0026162591875818</v>
      </c>
      <c r="O11" s="52"/>
      <c r="P11" s="93">
        <f t="shared" si="9"/>
        <v>-8.6949889886902567E-4</v>
      </c>
      <c r="Q11" s="93"/>
      <c r="R11" s="52">
        <f>P7-$R$1</f>
        <v>-7.1426219156566668E-3</v>
      </c>
      <c r="S11" s="92" t="s">
        <v>129</v>
      </c>
      <c r="T11" s="87">
        <f>B_(A11,$A$23)</f>
        <v>2.8689604909590605</v>
      </c>
      <c r="U11" s="87">
        <f>A_(A11,$A$23)</f>
        <v>0.9986847012044856</v>
      </c>
      <c r="V11" s="32">
        <f>R11*B11/U11*EXP(T11*D11)</f>
        <v>-6.9622408012212453E-3</v>
      </c>
      <c r="W11" s="70" t="s">
        <v>128</v>
      </c>
    </row>
    <row r="12" spans="1:23" ht="13" thickBot="1" x14ac:dyDescent="0.3">
      <c r="A12" s="34">
        <v>2.25</v>
      </c>
      <c r="B12" s="32">
        <v>0.99221700000000002</v>
      </c>
      <c r="C12" s="86">
        <v>1.4472308550796522</v>
      </c>
      <c r="D12" s="28">
        <f t="shared" si="10"/>
        <v>-8.9855531171782067E-3</v>
      </c>
      <c r="E12" s="87"/>
      <c r="F12" s="87"/>
      <c r="G12" s="87"/>
      <c r="H12" s="87"/>
      <c r="I12" s="87"/>
      <c r="J12" s="87"/>
      <c r="K12" s="87"/>
      <c r="L12" s="52"/>
      <c r="M12" s="52"/>
      <c r="N12" s="52"/>
      <c r="O12" s="52"/>
      <c r="P12" s="55"/>
      <c r="Q12" s="55"/>
      <c r="S12" s="83"/>
      <c r="T12" s="91"/>
      <c r="U12" s="90" t="s">
        <v>127</v>
      </c>
      <c r="V12" s="89">
        <f>SUM(V7:V11)</f>
        <v>-2.3849307011735349E-2</v>
      </c>
      <c r="W12" s="70" t="s">
        <v>126</v>
      </c>
    </row>
    <row r="13" spans="1:23" ht="13" thickTop="1" x14ac:dyDescent="0.25">
      <c r="A13" s="34">
        <v>2.5</v>
      </c>
      <c r="B13" s="32">
        <v>0.99122699999999997</v>
      </c>
      <c r="C13" s="86">
        <v>1.0613552090498217</v>
      </c>
      <c r="D13" s="28">
        <f t="shared" si="10"/>
        <v>-1.7721763242684926E-3</v>
      </c>
      <c r="E13" s="87"/>
      <c r="F13" s="87"/>
      <c r="G13" s="87"/>
      <c r="H13" s="87"/>
      <c r="I13" s="87"/>
      <c r="J13" s="87"/>
      <c r="K13" s="87"/>
      <c r="L13" s="52"/>
      <c r="M13" s="52"/>
      <c r="N13" s="52"/>
      <c r="O13" s="52"/>
      <c r="P13" s="55"/>
      <c r="Q13" s="55"/>
      <c r="R13" s="52"/>
      <c r="S13" s="52"/>
      <c r="T13" s="51"/>
      <c r="U13" s="51"/>
      <c r="V13" s="50"/>
      <c r="W13" s="43"/>
    </row>
    <row r="14" spans="1:23" x14ac:dyDescent="0.25">
      <c r="A14" s="34">
        <v>2.75</v>
      </c>
      <c r="B14" s="32">
        <v>0.99023499999999998</v>
      </c>
      <c r="C14" s="86">
        <v>1.5024120898917386</v>
      </c>
      <c r="D14" s="28">
        <f t="shared" si="10"/>
        <v>3.4709136529936999E-3</v>
      </c>
      <c r="E14" s="375" t="s">
        <v>125</v>
      </c>
      <c r="F14" s="375"/>
      <c r="G14" s="375"/>
      <c r="H14" s="87"/>
      <c r="I14" s="87"/>
      <c r="J14" s="87"/>
      <c r="K14" s="87"/>
      <c r="L14" s="52"/>
      <c r="M14" s="52"/>
      <c r="N14" s="52"/>
      <c r="O14" s="52"/>
      <c r="P14" s="55"/>
      <c r="Q14" s="55"/>
      <c r="W14" s="43"/>
    </row>
    <row r="15" spans="1:23" x14ac:dyDescent="0.25">
      <c r="A15" s="34">
        <v>3</v>
      </c>
      <c r="B15" s="32">
        <v>0.989209</v>
      </c>
      <c r="C15" s="86">
        <v>0.49539021550278195</v>
      </c>
      <c r="D15" s="28">
        <f t="shared" si="10"/>
        <v>1.0877688171990354E-2</v>
      </c>
      <c r="E15" s="88" t="s">
        <v>124</v>
      </c>
      <c r="F15" s="87"/>
      <c r="G15" s="87"/>
      <c r="H15" s="87"/>
      <c r="I15" s="87"/>
      <c r="J15" s="87"/>
      <c r="K15" s="87"/>
      <c r="L15" s="52"/>
      <c r="M15" s="52"/>
      <c r="N15" s="52"/>
      <c r="O15" s="52"/>
      <c r="P15" s="55"/>
      <c r="Q15" s="55"/>
      <c r="R15" s="52"/>
      <c r="S15" s="52"/>
      <c r="T15" s="51"/>
      <c r="U15" s="51"/>
      <c r="V15" s="50"/>
      <c r="W15" s="43"/>
    </row>
    <row r="16" spans="1:23" x14ac:dyDescent="0.25">
      <c r="A16" s="36">
        <v>3.25</v>
      </c>
      <c r="B16" s="32">
        <v>0.98801300000000003</v>
      </c>
      <c r="C16" s="86">
        <v>0.33287562329798115</v>
      </c>
      <c r="D16" s="28">
        <f t="shared" si="10"/>
        <v>1.3218697159151672E-2</v>
      </c>
      <c r="E16" s="87"/>
      <c r="F16" s="87"/>
      <c r="G16" s="87"/>
      <c r="H16" s="87"/>
      <c r="I16" s="87"/>
      <c r="J16" s="87"/>
      <c r="K16" s="87"/>
      <c r="L16" s="52"/>
      <c r="M16" s="84"/>
      <c r="N16" s="52"/>
      <c r="O16" s="52"/>
      <c r="W16" s="43"/>
    </row>
    <row r="17" spans="1:23" x14ac:dyDescent="0.25">
      <c r="A17" s="36">
        <v>3.5</v>
      </c>
      <c r="B17" s="32">
        <v>0.98677300000000001</v>
      </c>
      <c r="C17" s="86">
        <v>0.55342061487167515</v>
      </c>
      <c r="D17" s="28">
        <f t="shared" si="10"/>
        <v>1.4738587153738925E-2</v>
      </c>
      <c r="E17" s="87"/>
      <c r="F17" s="87"/>
      <c r="G17" s="87"/>
      <c r="H17" s="87"/>
      <c r="I17" s="87"/>
      <c r="J17" s="87"/>
      <c r="K17" s="87"/>
      <c r="L17" s="52"/>
      <c r="M17" s="84"/>
      <c r="N17" s="52"/>
      <c r="O17" s="52"/>
      <c r="W17" s="43"/>
    </row>
    <row r="18" spans="1:23" x14ac:dyDescent="0.25">
      <c r="A18" s="36">
        <v>3.75</v>
      </c>
      <c r="B18" s="32">
        <v>0.98548800000000003</v>
      </c>
      <c r="C18" s="86">
        <v>0.10869406544214874</v>
      </c>
      <c r="D18" s="28">
        <f t="shared" si="10"/>
        <v>1.7351675936199466E-2</v>
      </c>
      <c r="E18" s="87"/>
      <c r="F18" s="87"/>
      <c r="G18" s="87"/>
      <c r="H18" s="87"/>
      <c r="I18" s="87"/>
      <c r="J18" s="87"/>
      <c r="K18" s="87"/>
      <c r="L18" s="52"/>
      <c r="M18" s="84"/>
      <c r="N18" s="52"/>
      <c r="O18" s="52"/>
      <c r="W18" s="43"/>
    </row>
    <row r="19" spans="1:23" x14ac:dyDescent="0.25">
      <c r="A19" s="36">
        <v>4</v>
      </c>
      <c r="B19" s="32">
        <v>0.98416000000000003</v>
      </c>
      <c r="C19" s="86">
        <v>0.22939531915575395</v>
      </c>
      <c r="D19" s="28">
        <f t="shared" si="10"/>
        <v>1.773591724131654E-2</v>
      </c>
      <c r="E19" s="87"/>
      <c r="F19" s="87"/>
      <c r="G19" s="87"/>
      <c r="H19" s="87"/>
      <c r="I19" s="87"/>
      <c r="J19" s="87"/>
      <c r="K19" s="87"/>
      <c r="L19" s="52"/>
      <c r="M19" s="84"/>
      <c r="N19" s="52"/>
      <c r="O19" s="52"/>
      <c r="W19" s="43"/>
    </row>
    <row r="20" spans="1:23" x14ac:dyDescent="0.25">
      <c r="A20" s="36">
        <v>4.25</v>
      </c>
      <c r="B20" s="32">
        <v>0.98253400000000002</v>
      </c>
      <c r="C20" s="86">
        <v>-0.31765903627494907</v>
      </c>
      <c r="D20" s="28">
        <f t="shared" si="10"/>
        <v>1.8724580346151508E-2</v>
      </c>
      <c r="E20" s="51"/>
      <c r="F20" s="51"/>
      <c r="L20" s="52"/>
      <c r="M20" s="84"/>
      <c r="N20" s="52"/>
      <c r="O20" s="52"/>
      <c r="W20" s="43"/>
    </row>
    <row r="21" spans="1:23" x14ac:dyDescent="0.25">
      <c r="A21" s="36">
        <v>4.5</v>
      </c>
      <c r="B21" s="32">
        <v>0.98083799999999999</v>
      </c>
      <c r="C21" s="86">
        <v>-0.44473035115751347</v>
      </c>
      <c r="D21" s="28">
        <f t="shared" si="10"/>
        <v>1.6986897867959014E-2</v>
      </c>
      <c r="E21" s="51"/>
      <c r="F21" s="51"/>
      <c r="L21" s="52"/>
      <c r="M21" s="84"/>
      <c r="N21" s="52"/>
      <c r="O21" s="52"/>
      <c r="W21" s="43"/>
    </row>
    <row r="22" spans="1:23" x14ac:dyDescent="0.25">
      <c r="A22" s="36">
        <v>4.75</v>
      </c>
      <c r="B22" s="32">
        <v>0.97909100000000004</v>
      </c>
      <c r="C22" s="86">
        <v>0.63342131142274982</v>
      </c>
      <c r="D22" s="28">
        <f t="shared" si="10"/>
        <v>1.463535181804714E-2</v>
      </c>
      <c r="E22" s="51"/>
      <c r="F22" s="51"/>
      <c r="L22" s="52"/>
      <c r="M22" s="84"/>
      <c r="N22" s="52"/>
      <c r="O22" s="52"/>
      <c r="W22" s="43"/>
    </row>
    <row r="23" spans="1:23" x14ac:dyDescent="0.25">
      <c r="A23" s="85">
        <v>5</v>
      </c>
      <c r="B23" s="32">
        <v>0.97729600000000005</v>
      </c>
      <c r="D23" s="28">
        <f t="shared" si="10"/>
        <v>1.7678162545533858E-2</v>
      </c>
      <c r="E23" s="51"/>
      <c r="F23" s="51"/>
      <c r="L23" s="52"/>
      <c r="M23" s="84"/>
      <c r="N23" s="52"/>
      <c r="O23" s="52"/>
      <c r="W23" s="43"/>
    </row>
    <row r="24" spans="1:23" x14ac:dyDescent="0.25">
      <c r="C24" s="83" t="s">
        <v>123</v>
      </c>
      <c r="W24" s="43"/>
    </row>
    <row r="25" spans="1:23" x14ac:dyDescent="0.25">
      <c r="W25" s="43"/>
    </row>
    <row r="26" spans="1:23" x14ac:dyDescent="0.25">
      <c r="W26" s="43"/>
    </row>
    <row r="27" spans="1:23" x14ac:dyDescent="0.25">
      <c r="W27" s="43"/>
    </row>
  </sheetData>
  <mergeCells count="1">
    <mergeCell ref="E14:G14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/>
  <dimension ref="A1:AC27"/>
  <sheetViews>
    <sheetView workbookViewId="0"/>
  </sheetViews>
  <sheetFormatPr defaultColWidth="9.1796875" defaultRowHeight="12.5" x14ac:dyDescent="0.25"/>
  <cols>
    <col min="1" max="1" width="4.81640625" style="18" customWidth="1"/>
    <col min="2" max="2" width="8.26953125" style="18" customWidth="1"/>
    <col min="3" max="3" width="9.7265625" style="18" bestFit="1" customWidth="1"/>
    <col min="4" max="4" width="8.1796875" style="18" customWidth="1"/>
    <col min="5" max="10" width="7" style="18" hidden="1" customWidth="1"/>
    <col min="11" max="11" width="9.7265625" style="18" hidden="1" customWidth="1"/>
    <col min="12" max="13" width="8.81640625" style="82" hidden="1" customWidth="1"/>
    <col min="14" max="14" width="8.81640625" style="18" hidden="1" customWidth="1"/>
    <col min="15" max="15" width="19.81640625" style="18" hidden="1" customWidth="1"/>
    <col min="16" max="16" width="8.453125" style="49" customWidth="1"/>
    <col min="17" max="17" width="15.54296875" style="49" hidden="1" customWidth="1"/>
    <col min="18" max="18" width="9.81640625" style="18" customWidth="1"/>
    <col min="19" max="19" width="8.54296875" style="18" customWidth="1"/>
    <col min="20" max="21" width="9" style="18" customWidth="1"/>
    <col min="22" max="22" width="9.81640625" style="18" bestFit="1" customWidth="1"/>
    <col min="23" max="23" width="23.453125" style="18" customWidth="1"/>
    <col min="24" max="29" width="9.1796875" style="82"/>
    <col min="30" max="16384" width="9.1796875" style="18"/>
  </cols>
  <sheetData>
    <row r="1" spans="1:23" x14ac:dyDescent="0.25">
      <c r="A1" s="48"/>
      <c r="B1" s="46" t="s">
        <v>29</v>
      </c>
      <c r="R1" s="69">
        <v>0.02</v>
      </c>
      <c r="S1" s="80"/>
      <c r="V1" s="43" t="s">
        <v>159</v>
      </c>
    </row>
    <row r="2" spans="1:23" x14ac:dyDescent="0.25">
      <c r="A2" s="46" t="s">
        <v>28</v>
      </c>
      <c r="B2" s="46" t="s">
        <v>27</v>
      </c>
      <c r="C2" s="46" t="s">
        <v>24</v>
      </c>
      <c r="D2" s="45" t="s">
        <v>158</v>
      </c>
      <c r="E2" s="46" t="s">
        <v>157</v>
      </c>
      <c r="F2" s="46" t="s">
        <v>156</v>
      </c>
      <c r="G2" s="46" t="s">
        <v>155</v>
      </c>
      <c r="H2" s="46" t="s">
        <v>154</v>
      </c>
      <c r="I2" s="46" t="s">
        <v>153</v>
      </c>
      <c r="J2" s="46" t="s">
        <v>152</v>
      </c>
      <c r="K2" s="67" t="s">
        <v>151</v>
      </c>
      <c r="L2" s="46" t="s">
        <v>150</v>
      </c>
      <c r="M2" s="46" t="s">
        <v>149</v>
      </c>
      <c r="N2" s="46" t="s">
        <v>148</v>
      </c>
      <c r="O2" s="67" t="s">
        <v>147</v>
      </c>
      <c r="P2" s="46" t="s">
        <v>146</v>
      </c>
      <c r="Q2" s="67" t="s">
        <v>145</v>
      </c>
      <c r="R2" s="46" t="s">
        <v>40</v>
      </c>
      <c r="S2" s="101" t="s">
        <v>144</v>
      </c>
      <c r="T2" s="46" t="s">
        <v>143</v>
      </c>
      <c r="U2" s="46" t="s">
        <v>142</v>
      </c>
      <c r="V2" s="100" t="s">
        <v>58</v>
      </c>
      <c r="W2" s="99" t="s">
        <v>141</v>
      </c>
    </row>
    <row r="3" spans="1:23" x14ac:dyDescent="0.25">
      <c r="A3" s="34">
        <v>0</v>
      </c>
      <c r="B3" s="32">
        <v>1</v>
      </c>
      <c r="C3" s="86">
        <v>-0.67507065600497307</v>
      </c>
      <c r="D3" s="26">
        <v>0</v>
      </c>
      <c r="E3" s="87">
        <f t="shared" ref="E3:E11" si="0">B_(A3,A7)</f>
        <v>0.98514888171639492</v>
      </c>
      <c r="F3" s="87">
        <f t="shared" ref="F3:F11" si="1">A_(A3,A7)</f>
        <v>1</v>
      </c>
      <c r="G3" s="87">
        <f t="shared" ref="G3:G11" si="2">B_(A3,A11)</f>
        <v>1.9411822138583761</v>
      </c>
      <c r="H3" s="87">
        <f t="shared" ref="H3:H11" si="3">A_(A3,A11)</f>
        <v>1</v>
      </c>
      <c r="I3" s="87">
        <f t="shared" ref="I3:I11" si="4">B_(A3,A15)</f>
        <v>2.8689604909590605</v>
      </c>
      <c r="J3" s="87">
        <f t="shared" ref="J3:J11" si="5">A_(A3,A15)</f>
        <v>1</v>
      </c>
      <c r="K3" s="88" t="s">
        <v>140</v>
      </c>
      <c r="L3" s="52">
        <f t="shared" ref="L3:L11" si="6">B7/B3*F3*EXP(-E3*D3)</f>
        <v>0.99661200000000005</v>
      </c>
      <c r="M3" s="52">
        <f t="shared" ref="M3:M11" si="7">B11/B3*H3*EXP(-G3*D3)</f>
        <v>0.99320399999999998</v>
      </c>
      <c r="N3" s="52">
        <f t="shared" ref="N3:N11" si="8">B15/B3*J3*EXP(-I3*D3)</f>
        <v>0.989209</v>
      </c>
      <c r="O3" s="76" t="s">
        <v>139</v>
      </c>
      <c r="P3" s="93">
        <f t="shared" ref="P3:P11" si="9">(1-N3)/SUM(G3:N3)</f>
        <v>1.1023409063356364E-3</v>
      </c>
      <c r="Q3" s="98" t="s">
        <v>138</v>
      </c>
      <c r="R3" s="49"/>
      <c r="S3" s="94"/>
      <c r="T3" s="51"/>
      <c r="U3" s="51"/>
      <c r="W3" s="19"/>
    </row>
    <row r="4" spans="1:23" x14ac:dyDescent="0.25">
      <c r="A4" s="34">
        <v>0.25</v>
      </c>
      <c r="B4" s="32">
        <v>0.99950000000000006</v>
      </c>
      <c r="C4" s="86">
        <v>-0.5430408511119118</v>
      </c>
      <c r="D4" s="28">
        <f t="shared" ref="D4:D23" si="10">x_(D3,C3,A4,$A$23)</f>
        <v>-3.4756879311797226E-3</v>
      </c>
      <c r="E4" s="87">
        <f t="shared" si="0"/>
        <v>0.98514888171639492</v>
      </c>
      <c r="F4" s="87">
        <f t="shared" si="1"/>
        <v>0.99998490356630498</v>
      </c>
      <c r="G4" s="87">
        <f t="shared" si="2"/>
        <v>1.9411822138583761</v>
      </c>
      <c r="H4" s="87">
        <f t="shared" si="3"/>
        <v>0.99994722964911942</v>
      </c>
      <c r="I4" s="87">
        <f t="shared" si="4"/>
        <v>2.8689604909590605</v>
      </c>
      <c r="J4" s="87">
        <f t="shared" si="5"/>
        <v>0.99988898873622789</v>
      </c>
      <c r="K4" s="88" t="s">
        <v>137</v>
      </c>
      <c r="L4" s="52">
        <f t="shared" si="6"/>
        <v>0.99965512246427357</v>
      </c>
      <c r="M4" s="52">
        <f t="shared" si="7"/>
        <v>0.99938104290479113</v>
      </c>
      <c r="N4" s="52">
        <f t="shared" si="8"/>
        <v>0.99830273752486498</v>
      </c>
      <c r="O4" s="76" t="s">
        <v>136</v>
      </c>
      <c r="P4" s="93">
        <f t="shared" si="9"/>
        <v>1.7306082103495218E-4</v>
      </c>
      <c r="Q4" s="98" t="s">
        <v>135</v>
      </c>
      <c r="R4" s="49"/>
      <c r="S4" s="94"/>
      <c r="T4" s="51"/>
      <c r="U4" s="51"/>
      <c r="V4" s="50"/>
      <c r="W4" s="19"/>
    </row>
    <row r="5" spans="1:23" x14ac:dyDescent="0.25">
      <c r="A5" s="34">
        <v>0.5</v>
      </c>
      <c r="B5" s="32">
        <v>0.99828600000000001</v>
      </c>
      <c r="C5" s="86">
        <v>1.2418480792648157</v>
      </c>
      <c r="D5" s="28">
        <f t="shared" si="10"/>
        <v>-6.2623248294600992E-3</v>
      </c>
      <c r="E5" s="87">
        <f t="shared" si="0"/>
        <v>0.98514888171639492</v>
      </c>
      <c r="F5" s="87">
        <f t="shared" si="1"/>
        <v>0.99996396677176336</v>
      </c>
      <c r="G5" s="87">
        <f t="shared" si="2"/>
        <v>1.9411822138583761</v>
      </c>
      <c r="H5" s="87">
        <f t="shared" si="3"/>
        <v>0.99988329717551372</v>
      </c>
      <c r="I5" s="87">
        <f t="shared" si="4"/>
        <v>2.8689604909590605</v>
      </c>
      <c r="J5" s="87">
        <f t="shared" si="5"/>
        <v>0.99976198218490964</v>
      </c>
      <c r="K5" s="87"/>
      <c r="L5" s="52">
        <f t="shared" si="6"/>
        <v>1.0027072029367967</v>
      </c>
      <c r="M5" s="52">
        <f t="shared" si="7"/>
        <v>1.0049556037794278</v>
      </c>
      <c r="N5" s="52">
        <f t="shared" si="8"/>
        <v>1.0061473489503314</v>
      </c>
      <c r="O5" s="52"/>
      <c r="P5" s="93">
        <f t="shared" si="9"/>
        <v>-6.2577365877761594E-4</v>
      </c>
      <c r="Q5" s="93"/>
      <c r="R5" s="52"/>
      <c r="S5" s="95"/>
      <c r="T5" s="51"/>
      <c r="U5" s="51"/>
      <c r="V5" s="50"/>
      <c r="W5" s="19"/>
    </row>
    <row r="6" spans="1:23" x14ac:dyDescent="0.25">
      <c r="A6" s="34">
        <v>0.75</v>
      </c>
      <c r="B6" s="32">
        <v>0.99744299999999997</v>
      </c>
      <c r="C6" s="86">
        <v>1.8111783769925407</v>
      </c>
      <c r="D6" s="28">
        <f t="shared" si="10"/>
        <v>-1.3161744791567991E-4</v>
      </c>
      <c r="E6" s="87">
        <f t="shared" si="0"/>
        <v>0.98514888171639492</v>
      </c>
      <c r="F6" s="87">
        <f t="shared" si="1"/>
        <v>0.99993732225423015</v>
      </c>
      <c r="G6" s="87">
        <f t="shared" si="2"/>
        <v>1.9411822138583761</v>
      </c>
      <c r="H6" s="87">
        <f t="shared" si="3"/>
        <v>0.99980846021717995</v>
      </c>
      <c r="I6" s="87">
        <f t="shared" si="4"/>
        <v>2.8689604909590605</v>
      </c>
      <c r="J6" s="87">
        <f t="shared" si="5"/>
        <v>0.99961935666602642</v>
      </c>
      <c r="K6" s="88" t="s">
        <v>13</v>
      </c>
      <c r="L6" s="52">
        <f t="shared" si="6"/>
        <v>0.99664199880259485</v>
      </c>
      <c r="M6" s="52">
        <f t="shared" si="7"/>
        <v>0.99283699721745289</v>
      </c>
      <c r="N6" s="52">
        <f t="shared" si="8"/>
        <v>0.98801127944741174</v>
      </c>
      <c r="O6" s="97" t="s">
        <v>13</v>
      </c>
      <c r="P6" s="93">
        <f t="shared" si="9"/>
        <v>1.2249561743866157E-3</v>
      </c>
      <c r="Q6" s="97" t="s">
        <v>13</v>
      </c>
      <c r="R6" s="49"/>
      <c r="S6" s="94"/>
      <c r="T6" s="51"/>
      <c r="U6" s="51"/>
      <c r="V6" s="50"/>
      <c r="W6" s="19"/>
    </row>
    <row r="7" spans="1:23" x14ac:dyDescent="0.25">
      <c r="A7" s="36">
        <v>1</v>
      </c>
      <c r="B7" s="32">
        <v>0.99661200000000005</v>
      </c>
      <c r="C7" s="86">
        <v>-1.1783750715028232</v>
      </c>
      <c r="D7" s="28">
        <f t="shared" si="10"/>
        <v>8.7947727588145331E-3</v>
      </c>
      <c r="E7" s="87">
        <f t="shared" si="0"/>
        <v>0.98514888171639492</v>
      </c>
      <c r="F7" s="87">
        <f t="shared" si="1"/>
        <v>0.99990510042892577</v>
      </c>
      <c r="G7" s="87">
        <f t="shared" si="2"/>
        <v>1.9411822138583761</v>
      </c>
      <c r="H7" s="87">
        <f t="shared" si="3"/>
        <v>0.9997229722274118</v>
      </c>
      <c r="I7" s="87">
        <f t="shared" si="4"/>
        <v>2.8689604909590605</v>
      </c>
      <c r="J7" s="87">
        <f t="shared" si="5"/>
        <v>0.99946148253533751</v>
      </c>
      <c r="K7" s="87"/>
      <c r="L7" s="52">
        <f t="shared" si="6"/>
        <v>0.98788942024751569</v>
      </c>
      <c r="M7" s="52">
        <f t="shared" si="7"/>
        <v>0.97549990583094293</v>
      </c>
      <c r="N7" s="52">
        <f t="shared" si="8"/>
        <v>0.96238224867497058</v>
      </c>
      <c r="O7" s="52"/>
      <c r="P7" s="93">
        <f t="shared" si="9"/>
        <v>3.8641366001106537E-3</v>
      </c>
      <c r="Q7" s="93"/>
      <c r="R7" s="52">
        <f>P3-$R$1</f>
        <v>-1.8897659093664365E-2</v>
      </c>
      <c r="S7" s="92" t="s">
        <v>134</v>
      </c>
      <c r="T7" s="87">
        <f>B_(A7,$A$23)</f>
        <v>3.7693187760947509</v>
      </c>
      <c r="U7" s="87">
        <f>A_(A7,$A$23)</f>
        <v>0.99912797431830624</v>
      </c>
      <c r="V7" s="77">
        <f>R7*B7/U7*EXP(T7*D7)</f>
        <v>-1.948543011792913E-2</v>
      </c>
      <c r="W7" s="70" t="s">
        <v>133</v>
      </c>
    </row>
    <row r="8" spans="1:23" ht="12.75" customHeight="1" x14ac:dyDescent="0.25">
      <c r="A8" s="36">
        <v>1.25</v>
      </c>
      <c r="B8" s="32">
        <v>0.99575499999999995</v>
      </c>
      <c r="C8" s="86">
        <v>-1.4371494454763298</v>
      </c>
      <c r="D8" s="28">
        <f t="shared" si="10"/>
        <v>2.768100145451099E-3</v>
      </c>
      <c r="E8" s="87">
        <f t="shared" si="0"/>
        <v>0.98514888171639492</v>
      </c>
      <c r="F8" s="87">
        <f t="shared" si="1"/>
        <v>0.99986742951828234</v>
      </c>
      <c r="G8" s="87">
        <f t="shared" si="2"/>
        <v>1.9411822138583761</v>
      </c>
      <c r="H8" s="87">
        <f t="shared" si="3"/>
        <v>0.99962708252081389</v>
      </c>
      <c r="I8" s="87">
        <f t="shared" si="4"/>
        <v>2.8689604909590605</v>
      </c>
      <c r="J8" s="87">
        <f t="shared" si="5"/>
        <v>0.99928872423640625</v>
      </c>
      <c r="K8" s="87"/>
      <c r="L8" s="52">
        <f t="shared" si="6"/>
        <v>0.99360157758262502</v>
      </c>
      <c r="M8" s="52">
        <f t="shared" si="7"/>
        <v>0.98653965009326039</v>
      </c>
      <c r="N8" s="52">
        <f t="shared" si="8"/>
        <v>0.97822126379210761</v>
      </c>
      <c r="O8" s="52"/>
      <c r="P8" s="93">
        <f t="shared" si="9"/>
        <v>2.2297325159945595E-3</v>
      </c>
      <c r="Q8" s="93"/>
      <c r="S8" s="92"/>
      <c r="T8" s="96" t="s">
        <v>132</v>
      </c>
      <c r="U8" s="88" t="s">
        <v>131</v>
      </c>
      <c r="V8" s="43"/>
      <c r="W8" s="19"/>
    </row>
    <row r="9" spans="1:23" x14ac:dyDescent="0.25">
      <c r="A9" s="36">
        <v>1.5</v>
      </c>
      <c r="B9" s="32">
        <v>0.99486799999999997</v>
      </c>
      <c r="C9" s="86">
        <v>-0.58006141594203009</v>
      </c>
      <c r="D9" s="28">
        <f t="shared" si="10"/>
        <v>-4.4970123352227973E-3</v>
      </c>
      <c r="E9" s="87">
        <f t="shared" si="0"/>
        <v>0.98514888171639492</v>
      </c>
      <c r="F9" s="87">
        <f t="shared" si="1"/>
        <v>0.99982443558157141</v>
      </c>
      <c r="G9" s="87">
        <f t="shared" si="2"/>
        <v>1.9411822138583761</v>
      </c>
      <c r="H9" s="87">
        <f t="shared" si="3"/>
        <v>0.99952103631949574</v>
      </c>
      <c r="I9" s="87">
        <f t="shared" si="4"/>
        <v>2.8689604909590605</v>
      </c>
      <c r="J9" s="87">
        <f t="shared" si="5"/>
        <v>0.99910144035368731</v>
      </c>
      <c r="K9" s="87"/>
      <c r="L9" s="52">
        <f t="shared" si="6"/>
        <v>1.0005883244483527</v>
      </c>
      <c r="M9" s="52">
        <f t="shared" si="7"/>
        <v>1.0000804032445716</v>
      </c>
      <c r="N9" s="52">
        <f t="shared" si="8"/>
        <v>0.99780244855610345</v>
      </c>
      <c r="O9" s="52"/>
      <c r="P9" s="93">
        <f t="shared" si="9"/>
        <v>2.2407448579153422E-4</v>
      </c>
      <c r="Q9" s="93"/>
      <c r="R9" s="52"/>
      <c r="S9" s="95"/>
      <c r="T9" s="87"/>
      <c r="U9" s="87"/>
      <c r="V9" s="32"/>
      <c r="W9" s="19"/>
    </row>
    <row r="10" spans="1:23" x14ac:dyDescent="0.25">
      <c r="A10" s="34">
        <v>1.75</v>
      </c>
      <c r="B10" s="32">
        <v>0.99402699999999999</v>
      </c>
      <c r="C10" s="86">
        <v>9.115681248478294E-2</v>
      </c>
      <c r="D10" s="28">
        <f t="shared" si="10"/>
        <v>-7.4328144072771159E-3</v>
      </c>
      <c r="E10" s="87">
        <f t="shared" si="0"/>
        <v>0.98514888171639492</v>
      </c>
      <c r="F10" s="87">
        <f t="shared" si="1"/>
        <v>0.99977624254430586</v>
      </c>
      <c r="G10" s="87">
        <f t="shared" si="2"/>
        <v>1.9411822138583761</v>
      </c>
      <c r="H10" s="87">
        <f t="shared" si="3"/>
        <v>0.99940507479941254</v>
      </c>
      <c r="I10" s="87">
        <f t="shared" si="4"/>
        <v>2.8689604909590605</v>
      </c>
      <c r="J10" s="87">
        <f t="shared" si="5"/>
        <v>0.9988999836665966</v>
      </c>
      <c r="K10" s="87"/>
      <c r="L10" s="52">
        <f t="shared" si="6"/>
        <v>1.0032819395491273</v>
      </c>
      <c r="M10" s="52">
        <f t="shared" si="7"/>
        <v>1.0052194999565789</v>
      </c>
      <c r="N10" s="52">
        <f t="shared" si="8"/>
        <v>1.0050969957245723</v>
      </c>
      <c r="O10" s="52"/>
      <c r="P10" s="93">
        <f t="shared" si="9"/>
        <v>-5.1893420388753801E-4</v>
      </c>
      <c r="Q10" s="93"/>
      <c r="S10" s="94"/>
      <c r="T10" s="87"/>
      <c r="U10" s="87"/>
      <c r="V10" s="43"/>
      <c r="W10" s="19"/>
    </row>
    <row r="11" spans="1:23" x14ac:dyDescent="0.25">
      <c r="A11" s="34">
        <v>2</v>
      </c>
      <c r="B11" s="32">
        <v>0.99320399999999998</v>
      </c>
      <c r="C11" s="86">
        <v>-0.39582998146204917</v>
      </c>
      <c r="D11" s="28">
        <f t="shared" si="10"/>
        <v>-6.997487050561804E-3</v>
      </c>
      <c r="E11" s="87">
        <f t="shared" si="0"/>
        <v>0.98514888171639492</v>
      </c>
      <c r="F11" s="87">
        <f t="shared" si="1"/>
        <v>0.9997229722274118</v>
      </c>
      <c r="G11" s="87">
        <f t="shared" si="2"/>
        <v>1.9411822138583761</v>
      </c>
      <c r="H11" s="87">
        <f t="shared" si="3"/>
        <v>0.99927943513682083</v>
      </c>
      <c r="I11" s="87">
        <f t="shared" si="4"/>
        <v>2.8689604909590605</v>
      </c>
      <c r="J11" s="87">
        <f t="shared" si="5"/>
        <v>0.9986847012044856</v>
      </c>
      <c r="K11" s="88" t="s">
        <v>130</v>
      </c>
      <c r="L11" s="52">
        <f t="shared" si="6"/>
        <v>1.0025893999657867</v>
      </c>
      <c r="M11" s="52">
        <f t="shared" si="7"/>
        <v>1.0037218863384234</v>
      </c>
      <c r="N11" s="52">
        <f t="shared" si="8"/>
        <v>1.0026162591875818</v>
      </c>
      <c r="O11" s="52"/>
      <c r="P11" s="93">
        <f t="shared" si="9"/>
        <v>-2.6650198874106541E-4</v>
      </c>
      <c r="Q11" s="93"/>
      <c r="R11" s="52">
        <f>P7-$R$1</f>
        <v>-1.6135863399889348E-2</v>
      </c>
      <c r="S11" s="92" t="s">
        <v>129</v>
      </c>
      <c r="T11" s="87">
        <f>B_(A11,$A$23)</f>
        <v>2.8689604909590605</v>
      </c>
      <c r="U11" s="87">
        <f>A_(A11,$A$23)</f>
        <v>0.9986847012044856</v>
      </c>
      <c r="V11" s="32">
        <f>R11*B11/U11*EXP(T11*D11)</f>
        <v>-1.5728365277096413E-2</v>
      </c>
      <c r="W11" s="70" t="s">
        <v>128</v>
      </c>
    </row>
    <row r="12" spans="1:23" ht="13" thickBot="1" x14ac:dyDescent="0.3">
      <c r="A12" s="34">
        <v>2.25</v>
      </c>
      <c r="B12" s="32">
        <v>0.99221700000000002</v>
      </c>
      <c r="C12" s="86">
        <v>1.4472308550796522</v>
      </c>
      <c r="D12" s="28">
        <f t="shared" si="10"/>
        <v>-8.9855531171782067E-3</v>
      </c>
      <c r="E12" s="87"/>
      <c r="F12" s="87"/>
      <c r="G12" s="87"/>
      <c r="H12" s="87"/>
      <c r="I12" s="87"/>
      <c r="J12" s="87"/>
      <c r="K12" s="87"/>
      <c r="L12" s="52"/>
      <c r="M12" s="52"/>
      <c r="N12" s="52"/>
      <c r="O12" s="52"/>
      <c r="P12" s="55"/>
      <c r="Q12" s="55"/>
      <c r="S12" s="83"/>
      <c r="T12" s="91"/>
      <c r="U12" s="90" t="s">
        <v>127</v>
      </c>
      <c r="V12" s="89">
        <f>SUM(V7:V11)</f>
        <v>-3.5213795395025546E-2</v>
      </c>
      <c r="W12" s="70" t="s">
        <v>126</v>
      </c>
    </row>
    <row r="13" spans="1:23" ht="13" hidden="1" thickTop="1" x14ac:dyDescent="0.25">
      <c r="A13" s="34">
        <v>2.5</v>
      </c>
      <c r="B13" s="32">
        <v>0.99122699999999997</v>
      </c>
      <c r="C13" s="86">
        <v>1.0613552090498217</v>
      </c>
      <c r="D13" s="28">
        <f t="shared" si="10"/>
        <v>-1.7721763242684926E-3</v>
      </c>
      <c r="E13" s="87"/>
      <c r="F13" s="87"/>
      <c r="G13" s="87"/>
      <c r="H13" s="87"/>
      <c r="I13" s="87"/>
      <c r="J13" s="87"/>
      <c r="K13" s="87"/>
      <c r="L13" s="52"/>
      <c r="M13" s="52"/>
      <c r="N13" s="52"/>
      <c r="O13" s="52"/>
      <c r="P13" s="55"/>
      <c r="Q13" s="55"/>
      <c r="R13" s="52"/>
      <c r="S13" s="52"/>
      <c r="T13" s="51"/>
      <c r="U13" s="51"/>
      <c r="V13" s="50"/>
      <c r="W13" s="43"/>
    </row>
    <row r="14" spans="1:23" ht="13" hidden="1" thickTop="1" x14ac:dyDescent="0.25">
      <c r="A14" s="34">
        <v>2.75</v>
      </c>
      <c r="B14" s="32">
        <v>0.99023499999999998</v>
      </c>
      <c r="C14" s="86">
        <v>1.5024120898917386</v>
      </c>
      <c r="D14" s="28">
        <f t="shared" si="10"/>
        <v>3.4709136529936999E-3</v>
      </c>
      <c r="E14" s="375" t="s">
        <v>125</v>
      </c>
      <c r="F14" s="375"/>
      <c r="G14" s="375"/>
      <c r="H14" s="87"/>
      <c r="I14" s="87"/>
      <c r="J14" s="87"/>
      <c r="K14" s="87"/>
      <c r="L14" s="52"/>
      <c r="M14" s="52"/>
      <c r="N14" s="52"/>
      <c r="O14" s="52"/>
      <c r="P14" s="55"/>
      <c r="Q14" s="55"/>
      <c r="W14" s="43"/>
    </row>
    <row r="15" spans="1:23" ht="13" hidden="1" thickTop="1" x14ac:dyDescent="0.25">
      <c r="A15" s="34">
        <v>3</v>
      </c>
      <c r="B15" s="32">
        <v>0.989209</v>
      </c>
      <c r="C15" s="86">
        <v>0.49539021550278195</v>
      </c>
      <c r="D15" s="28">
        <f t="shared" si="10"/>
        <v>1.0877688171990354E-2</v>
      </c>
      <c r="E15" s="88" t="s">
        <v>124</v>
      </c>
      <c r="F15" s="87"/>
      <c r="G15" s="87"/>
      <c r="H15" s="87"/>
      <c r="I15" s="87"/>
      <c r="J15" s="87"/>
      <c r="K15" s="87"/>
      <c r="L15" s="52"/>
      <c r="M15" s="52"/>
      <c r="N15" s="52"/>
      <c r="O15" s="52"/>
      <c r="P15" s="55"/>
      <c r="Q15" s="55"/>
      <c r="R15" s="52"/>
      <c r="S15" s="52"/>
      <c r="T15" s="51"/>
      <c r="U15" s="51"/>
      <c r="V15" s="50"/>
      <c r="W15" s="43"/>
    </row>
    <row r="16" spans="1:23" ht="13" hidden="1" thickTop="1" x14ac:dyDescent="0.25">
      <c r="A16" s="36">
        <v>3.25</v>
      </c>
      <c r="B16" s="32">
        <v>0.98801300000000003</v>
      </c>
      <c r="C16" s="86">
        <v>0.33287562329798115</v>
      </c>
      <c r="D16" s="28">
        <f t="shared" si="10"/>
        <v>1.3218697159151672E-2</v>
      </c>
      <c r="E16" s="87"/>
      <c r="F16" s="87"/>
      <c r="G16" s="87"/>
      <c r="H16" s="87"/>
      <c r="I16" s="87"/>
      <c r="J16" s="87"/>
      <c r="K16" s="87"/>
      <c r="L16" s="52"/>
      <c r="M16" s="84"/>
      <c r="N16" s="52"/>
      <c r="O16" s="52"/>
      <c r="W16" s="43"/>
    </row>
    <row r="17" spans="1:23" ht="13" hidden="1" thickTop="1" x14ac:dyDescent="0.25">
      <c r="A17" s="36">
        <v>3.5</v>
      </c>
      <c r="B17" s="32">
        <v>0.98677300000000001</v>
      </c>
      <c r="C17" s="86">
        <v>0.55342061487167515</v>
      </c>
      <c r="D17" s="28">
        <f t="shared" si="10"/>
        <v>1.4738587153738925E-2</v>
      </c>
      <c r="E17" s="87"/>
      <c r="F17" s="87"/>
      <c r="G17" s="87"/>
      <c r="H17" s="87"/>
      <c r="I17" s="87"/>
      <c r="J17" s="87"/>
      <c r="K17" s="87"/>
      <c r="L17" s="52"/>
      <c r="M17" s="84"/>
      <c r="N17" s="52"/>
      <c r="O17" s="52"/>
      <c r="W17" s="43"/>
    </row>
    <row r="18" spans="1:23" ht="13" hidden="1" thickTop="1" x14ac:dyDescent="0.25">
      <c r="A18" s="36">
        <v>3.75</v>
      </c>
      <c r="B18" s="32">
        <v>0.98548800000000003</v>
      </c>
      <c r="C18" s="86">
        <v>0.10869406544214874</v>
      </c>
      <c r="D18" s="28">
        <f t="shared" si="10"/>
        <v>1.7351675936199466E-2</v>
      </c>
      <c r="E18" s="87"/>
      <c r="F18" s="87"/>
      <c r="G18" s="87"/>
      <c r="H18" s="87"/>
      <c r="I18" s="87"/>
      <c r="J18" s="87"/>
      <c r="K18" s="87"/>
      <c r="L18" s="52"/>
      <c r="M18" s="84"/>
      <c r="N18" s="52"/>
      <c r="O18" s="52"/>
      <c r="W18" s="43"/>
    </row>
    <row r="19" spans="1:23" ht="13" hidden="1" thickTop="1" x14ac:dyDescent="0.25">
      <c r="A19" s="36">
        <v>4</v>
      </c>
      <c r="B19" s="32">
        <v>0.98416000000000003</v>
      </c>
      <c r="C19" s="86">
        <v>0.22939531915575395</v>
      </c>
      <c r="D19" s="28">
        <f t="shared" si="10"/>
        <v>1.773591724131654E-2</v>
      </c>
      <c r="E19" s="87"/>
      <c r="F19" s="87"/>
      <c r="G19" s="87"/>
      <c r="H19" s="87"/>
      <c r="I19" s="87"/>
      <c r="J19" s="87"/>
      <c r="K19" s="87"/>
      <c r="L19" s="52"/>
      <c r="M19" s="84"/>
      <c r="N19" s="52"/>
      <c r="O19" s="52"/>
      <c r="W19" s="43"/>
    </row>
    <row r="20" spans="1:23" ht="13" hidden="1" thickTop="1" x14ac:dyDescent="0.25">
      <c r="A20" s="36">
        <v>4.25</v>
      </c>
      <c r="B20" s="32">
        <v>0.98253400000000002</v>
      </c>
      <c r="C20" s="86">
        <v>-0.31765903627494907</v>
      </c>
      <c r="D20" s="28">
        <f t="shared" si="10"/>
        <v>1.8724580346151508E-2</v>
      </c>
      <c r="E20" s="51"/>
      <c r="F20" s="51"/>
      <c r="L20" s="52"/>
      <c r="M20" s="84"/>
      <c r="N20" s="52"/>
      <c r="O20" s="52"/>
      <c r="W20" s="43"/>
    </row>
    <row r="21" spans="1:23" ht="13" hidden="1" thickTop="1" x14ac:dyDescent="0.25">
      <c r="A21" s="36">
        <v>4.5</v>
      </c>
      <c r="B21" s="32">
        <v>0.98083799999999999</v>
      </c>
      <c r="C21" s="86">
        <v>-0.44473035115751347</v>
      </c>
      <c r="D21" s="28">
        <f t="shared" si="10"/>
        <v>1.6986897867959014E-2</v>
      </c>
      <c r="E21" s="51"/>
      <c r="F21" s="51"/>
      <c r="L21" s="52"/>
      <c r="M21" s="84"/>
      <c r="N21" s="52"/>
      <c r="O21" s="52"/>
      <c r="W21" s="43"/>
    </row>
    <row r="22" spans="1:23" ht="18.75" customHeight="1" thickTop="1" x14ac:dyDescent="0.25">
      <c r="A22" s="36">
        <v>4.75</v>
      </c>
      <c r="B22" s="32">
        <v>0.97909100000000004</v>
      </c>
      <c r="C22" s="86">
        <v>0.63342131142274982</v>
      </c>
      <c r="D22" s="28">
        <f t="shared" si="10"/>
        <v>1.463535181804714E-2</v>
      </c>
      <c r="E22" s="51"/>
      <c r="F22" s="51"/>
      <c r="L22" s="52"/>
      <c r="M22" s="84"/>
      <c r="N22" s="52"/>
      <c r="O22" s="52"/>
      <c r="W22" s="43"/>
    </row>
    <row r="23" spans="1:23" x14ac:dyDescent="0.25">
      <c r="A23" s="85">
        <v>5</v>
      </c>
      <c r="B23" s="32">
        <v>0.97729600000000005</v>
      </c>
      <c r="D23" s="28">
        <f t="shared" si="10"/>
        <v>1.7678162545533858E-2</v>
      </c>
      <c r="E23" s="51"/>
      <c r="F23" s="51"/>
      <c r="L23" s="52"/>
      <c r="M23" s="84"/>
      <c r="N23" s="52"/>
      <c r="O23" s="52"/>
      <c r="W23" s="43"/>
    </row>
    <row r="24" spans="1:23" x14ac:dyDescent="0.25">
      <c r="C24" s="83" t="s">
        <v>123</v>
      </c>
      <c r="W24" s="43"/>
    </row>
    <row r="25" spans="1:23" x14ac:dyDescent="0.25">
      <c r="W25" s="43"/>
    </row>
    <row r="26" spans="1:23" x14ac:dyDescent="0.25">
      <c r="W26" s="43"/>
    </row>
    <row r="27" spans="1:23" x14ac:dyDescent="0.25">
      <c r="W27" s="43"/>
    </row>
  </sheetData>
  <mergeCells count="1">
    <mergeCell ref="E14:G14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73"/>
  <sheetViews>
    <sheetView workbookViewId="0"/>
  </sheetViews>
  <sheetFormatPr defaultColWidth="9.1796875" defaultRowHeight="12.5" x14ac:dyDescent="0.25"/>
  <cols>
    <col min="1" max="1" width="79.26953125" style="82" bestFit="1" customWidth="1"/>
    <col min="2" max="16384" width="9.1796875" style="82"/>
  </cols>
  <sheetData>
    <row r="1" spans="1:1" ht="13.5" x14ac:dyDescent="0.25">
      <c r="A1" s="82" t="s">
        <v>214</v>
      </c>
    </row>
    <row r="2" spans="1:1" x14ac:dyDescent="0.25">
      <c r="A2" s="82" t="s">
        <v>213</v>
      </c>
    </row>
    <row r="3" spans="1:1" x14ac:dyDescent="0.25">
      <c r="A3" s="82" t="s">
        <v>212</v>
      </c>
    </row>
    <row r="4" spans="1:1" x14ac:dyDescent="0.25">
      <c r="A4" s="82" t="s">
        <v>119</v>
      </c>
    </row>
    <row r="5" spans="1:1" x14ac:dyDescent="0.25">
      <c r="A5" s="82" t="s">
        <v>118</v>
      </c>
    </row>
    <row r="6" spans="1:1" ht="13.5" x14ac:dyDescent="0.25">
      <c r="A6" s="82" t="s">
        <v>211</v>
      </c>
    </row>
    <row r="7" spans="1:1" x14ac:dyDescent="0.25">
      <c r="A7" s="82" t="s">
        <v>116</v>
      </c>
    </row>
    <row r="8" spans="1:1" x14ac:dyDescent="0.25">
      <c r="A8" s="82" t="s">
        <v>115</v>
      </c>
    </row>
    <row r="9" spans="1:1" x14ac:dyDescent="0.25">
      <c r="A9" s="82" t="s">
        <v>114</v>
      </c>
    </row>
    <row r="10" spans="1:1" ht="13.5" x14ac:dyDescent="0.25">
      <c r="A10" s="82" t="s">
        <v>210</v>
      </c>
    </row>
    <row r="11" spans="1:1" x14ac:dyDescent="0.25">
      <c r="A11" s="82" t="s">
        <v>112</v>
      </c>
    </row>
    <row r="12" spans="1:1" x14ac:dyDescent="0.25">
      <c r="A12" s="82" t="s">
        <v>111</v>
      </c>
    </row>
    <row r="13" spans="1:1" x14ac:dyDescent="0.25">
      <c r="A13" s="82" t="s">
        <v>110</v>
      </c>
    </row>
    <row r="14" spans="1:1" x14ac:dyDescent="0.25">
      <c r="A14" s="82" t="s">
        <v>109</v>
      </c>
    </row>
    <row r="16" spans="1:1" ht="13.5" x14ac:dyDescent="0.25">
      <c r="A16" s="82" t="s">
        <v>209</v>
      </c>
    </row>
    <row r="17" spans="1:1" x14ac:dyDescent="0.25">
      <c r="A17" s="82" t="s">
        <v>208</v>
      </c>
    </row>
    <row r="18" spans="1:1" x14ac:dyDescent="0.25">
      <c r="A18" s="82" t="s">
        <v>207</v>
      </c>
    </row>
    <row r="19" spans="1:1" x14ac:dyDescent="0.25">
      <c r="A19" s="82" t="s">
        <v>206</v>
      </c>
    </row>
    <row r="20" spans="1:1" x14ac:dyDescent="0.25">
      <c r="A20" s="82" t="s">
        <v>205</v>
      </c>
    </row>
    <row r="21" spans="1:1" ht="13.5" x14ac:dyDescent="0.25">
      <c r="A21" s="82" t="s">
        <v>204</v>
      </c>
    </row>
    <row r="22" spans="1:1" x14ac:dyDescent="0.25">
      <c r="A22" s="82" t="s">
        <v>203</v>
      </c>
    </row>
    <row r="23" spans="1:1" x14ac:dyDescent="0.25">
      <c r="A23" s="82" t="s">
        <v>202</v>
      </c>
    </row>
    <row r="24" spans="1:1" x14ac:dyDescent="0.25">
      <c r="A24" s="82" t="s">
        <v>201</v>
      </c>
    </row>
    <row r="25" spans="1:1" x14ac:dyDescent="0.25">
      <c r="A25" s="82" t="s">
        <v>200</v>
      </c>
    </row>
    <row r="26" spans="1:1" ht="13.5" x14ac:dyDescent="0.25">
      <c r="A26" s="82" t="s">
        <v>199</v>
      </c>
    </row>
    <row r="27" spans="1:1" ht="13.5" x14ac:dyDescent="0.25">
      <c r="A27" s="82" t="s">
        <v>198</v>
      </c>
    </row>
    <row r="28" spans="1:1" x14ac:dyDescent="0.25">
      <c r="A28" s="82" t="s">
        <v>197</v>
      </c>
    </row>
    <row r="29" spans="1:1" ht="13.5" x14ac:dyDescent="0.25">
      <c r="A29" s="82" t="s">
        <v>196</v>
      </c>
    </row>
    <row r="30" spans="1:1" ht="13.5" x14ac:dyDescent="0.25">
      <c r="A30" s="82" t="s">
        <v>195</v>
      </c>
    </row>
    <row r="32" spans="1:1" x14ac:dyDescent="0.25">
      <c r="A32" s="82" t="s">
        <v>194</v>
      </c>
    </row>
    <row r="33" spans="1:1" x14ac:dyDescent="0.25">
      <c r="A33" s="82" t="s">
        <v>193</v>
      </c>
    </row>
    <row r="35" spans="1:1" ht="13.5" x14ac:dyDescent="0.25">
      <c r="A35" s="82" t="s">
        <v>192</v>
      </c>
    </row>
    <row r="36" spans="1:1" ht="13.5" x14ac:dyDescent="0.25">
      <c r="A36" s="82" t="s">
        <v>191</v>
      </c>
    </row>
    <row r="37" spans="1:1" x14ac:dyDescent="0.25">
      <c r="A37" s="82" t="s">
        <v>190</v>
      </c>
    </row>
    <row r="38" spans="1:1" x14ac:dyDescent="0.25">
      <c r="A38" s="82" t="s">
        <v>189</v>
      </c>
    </row>
    <row r="40" spans="1:1" x14ac:dyDescent="0.25">
      <c r="A40" s="82" t="s">
        <v>188</v>
      </c>
    </row>
    <row r="41" spans="1:1" x14ac:dyDescent="0.25">
      <c r="A41" s="82" t="s">
        <v>187</v>
      </c>
    </row>
    <row r="42" spans="1:1" x14ac:dyDescent="0.25">
      <c r="A42" s="82" t="s">
        <v>186</v>
      </c>
    </row>
    <row r="43" spans="1:1" x14ac:dyDescent="0.25">
      <c r="A43" s="82" t="s">
        <v>185</v>
      </c>
    </row>
    <row r="44" spans="1:1" x14ac:dyDescent="0.25">
      <c r="A44" s="82" t="s">
        <v>184</v>
      </c>
    </row>
    <row r="45" spans="1:1" x14ac:dyDescent="0.25">
      <c r="A45" s="82" t="s">
        <v>183</v>
      </c>
    </row>
    <row r="46" spans="1:1" x14ac:dyDescent="0.25">
      <c r="A46" s="82" t="s">
        <v>182</v>
      </c>
    </row>
    <row r="47" spans="1:1" x14ac:dyDescent="0.25">
      <c r="A47" s="82" t="s">
        <v>181</v>
      </c>
    </row>
    <row r="49" spans="1:1" x14ac:dyDescent="0.25">
      <c r="A49" s="82" t="s">
        <v>180</v>
      </c>
    </row>
    <row r="50" spans="1:1" x14ac:dyDescent="0.25">
      <c r="A50" s="82" t="s">
        <v>179</v>
      </c>
    </row>
    <row r="51" spans="1:1" x14ac:dyDescent="0.25">
      <c r="A51" s="82" t="s">
        <v>178</v>
      </c>
    </row>
    <row r="52" spans="1:1" x14ac:dyDescent="0.25">
      <c r="A52" s="82" t="s">
        <v>177</v>
      </c>
    </row>
    <row r="53" spans="1:1" x14ac:dyDescent="0.25">
      <c r="A53" s="82" t="s">
        <v>176</v>
      </c>
    </row>
    <row r="54" spans="1:1" x14ac:dyDescent="0.25">
      <c r="A54" s="82" t="s">
        <v>175</v>
      </c>
    </row>
    <row r="55" spans="1:1" x14ac:dyDescent="0.25">
      <c r="A55" s="82" t="s">
        <v>174</v>
      </c>
    </row>
    <row r="56" spans="1:1" x14ac:dyDescent="0.25">
      <c r="A56" s="82" t="s">
        <v>173</v>
      </c>
    </row>
    <row r="57" spans="1:1" x14ac:dyDescent="0.25">
      <c r="A57" s="82" t="s">
        <v>172</v>
      </c>
    </row>
    <row r="58" spans="1:1" x14ac:dyDescent="0.25">
      <c r="A58" s="82" t="s">
        <v>171</v>
      </c>
    </row>
    <row r="60" spans="1:1" ht="13.5" x14ac:dyDescent="0.25">
      <c r="A60" s="82" t="s">
        <v>170</v>
      </c>
    </row>
    <row r="61" spans="1:1" x14ac:dyDescent="0.25">
      <c r="A61" s="82" t="s">
        <v>169</v>
      </c>
    </row>
    <row r="62" spans="1:1" ht="13.5" x14ac:dyDescent="0.25">
      <c r="A62" s="82" t="s">
        <v>168</v>
      </c>
    </row>
    <row r="63" spans="1:1" x14ac:dyDescent="0.25">
      <c r="A63" s="82" t="s">
        <v>167</v>
      </c>
    </row>
    <row r="64" spans="1:1" x14ac:dyDescent="0.25">
      <c r="A64" s="82" t="s">
        <v>166</v>
      </c>
    </row>
    <row r="65" spans="1:1" x14ac:dyDescent="0.25">
      <c r="A65" s="82" t="s">
        <v>165</v>
      </c>
    </row>
    <row r="66" spans="1:1" x14ac:dyDescent="0.25">
      <c r="A66" s="82" t="s">
        <v>164</v>
      </c>
    </row>
    <row r="67" spans="1:1" x14ac:dyDescent="0.25">
      <c r="A67" s="82" t="s">
        <v>66</v>
      </c>
    </row>
    <row r="68" spans="1:1" x14ac:dyDescent="0.25">
      <c r="A68" s="82" t="s">
        <v>65</v>
      </c>
    </row>
    <row r="69" spans="1:1" x14ac:dyDescent="0.25">
      <c r="A69" s="82" t="s">
        <v>163</v>
      </c>
    </row>
    <row r="71" spans="1:1" x14ac:dyDescent="0.25">
      <c r="A71" s="82" t="s">
        <v>162</v>
      </c>
    </row>
    <row r="72" spans="1:1" ht="13.5" x14ac:dyDescent="0.25">
      <c r="A72" s="82" t="s">
        <v>161</v>
      </c>
    </row>
    <row r="73" spans="1:1" x14ac:dyDescent="0.25">
      <c r="A73" s="82" t="s">
        <v>160</v>
      </c>
    </row>
  </sheetData>
  <phoneticPr fontId="3"/>
  <pageMargins left="0.75" right="0.75" top="1" bottom="1" header="0.51200000000000001" footer="0.5120000000000000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3"/>
  <dimension ref="A1:V17"/>
  <sheetViews>
    <sheetView workbookViewId="0"/>
  </sheetViews>
  <sheetFormatPr defaultRowHeight="12" x14ac:dyDescent="0.2"/>
  <cols>
    <col min="1" max="1" width="5" style="18" customWidth="1"/>
    <col min="2" max="3" width="8.1796875" style="18" customWidth="1"/>
    <col min="4" max="4" width="1.7265625" style="20" hidden="1" customWidth="1"/>
    <col min="5" max="5" width="9.26953125" style="18" hidden="1" customWidth="1"/>
    <col min="6" max="6" width="8.1796875" style="43" customWidth="1"/>
    <col min="7" max="7" width="1.7265625" style="19" hidden="1" customWidth="1"/>
    <col min="8" max="8" width="1.7265625" style="18" hidden="1" customWidth="1"/>
    <col min="9" max="9" width="1.7265625" style="19" hidden="1" customWidth="1"/>
    <col min="10" max="11" width="10" style="43" hidden="1" customWidth="1"/>
    <col min="12" max="12" width="8.54296875" style="18" hidden="1" customWidth="1"/>
    <col min="13" max="13" width="19" style="18" hidden="1" customWidth="1"/>
    <col min="14" max="14" width="7.81640625" style="49" customWidth="1"/>
    <col min="15" max="15" width="16" style="18" hidden="1" customWidth="1"/>
    <col min="16" max="16" width="9.81640625" style="18" customWidth="1"/>
    <col min="17" max="17" width="8.54296875" style="18" hidden="1" customWidth="1"/>
    <col min="18" max="19" width="8.1796875" style="18" customWidth="1"/>
    <col min="20" max="20" width="8.7265625" style="43" customWidth="1"/>
    <col min="21" max="21" width="22.81640625" style="18" hidden="1" customWidth="1"/>
    <col min="22" max="256" width="9.1796875" style="18"/>
    <col min="257" max="257" width="5" style="18" customWidth="1"/>
    <col min="258" max="259" width="8.1796875" style="18" customWidth="1"/>
    <col min="260" max="261" width="0" style="18" hidden="1" customWidth="1"/>
    <col min="262" max="262" width="8.1796875" style="18" customWidth="1"/>
    <col min="263" max="269" width="0" style="18" hidden="1" customWidth="1"/>
    <col min="270" max="270" width="7.81640625" style="18" customWidth="1"/>
    <col min="271" max="271" width="0" style="18" hidden="1" customWidth="1"/>
    <col min="272" max="272" width="9.81640625" style="18" customWidth="1"/>
    <col min="273" max="273" width="0" style="18" hidden="1" customWidth="1"/>
    <col min="274" max="275" width="8.1796875" style="18" customWidth="1"/>
    <col min="276" max="276" width="8.7265625" style="18" customWidth="1"/>
    <col min="277" max="277" width="0" style="18" hidden="1" customWidth="1"/>
    <col min="278" max="512" width="9.1796875" style="18"/>
    <col min="513" max="513" width="5" style="18" customWidth="1"/>
    <col min="514" max="515" width="8.1796875" style="18" customWidth="1"/>
    <col min="516" max="517" width="0" style="18" hidden="1" customWidth="1"/>
    <col min="518" max="518" width="8.1796875" style="18" customWidth="1"/>
    <col min="519" max="525" width="0" style="18" hidden="1" customWidth="1"/>
    <col min="526" max="526" width="7.81640625" style="18" customWidth="1"/>
    <col min="527" max="527" width="0" style="18" hidden="1" customWidth="1"/>
    <col min="528" max="528" width="9.81640625" style="18" customWidth="1"/>
    <col min="529" max="529" width="0" style="18" hidden="1" customWidth="1"/>
    <col min="530" max="531" width="8.1796875" style="18" customWidth="1"/>
    <col min="532" max="532" width="8.7265625" style="18" customWidth="1"/>
    <col min="533" max="533" width="0" style="18" hidden="1" customWidth="1"/>
    <col min="534" max="768" width="9.1796875" style="18"/>
    <col min="769" max="769" width="5" style="18" customWidth="1"/>
    <col min="770" max="771" width="8.1796875" style="18" customWidth="1"/>
    <col min="772" max="773" width="0" style="18" hidden="1" customWidth="1"/>
    <col min="774" max="774" width="8.1796875" style="18" customWidth="1"/>
    <col min="775" max="781" width="0" style="18" hidden="1" customWidth="1"/>
    <col min="782" max="782" width="7.81640625" style="18" customWidth="1"/>
    <col min="783" max="783" width="0" style="18" hidden="1" customWidth="1"/>
    <col min="784" max="784" width="9.81640625" style="18" customWidth="1"/>
    <col min="785" max="785" width="0" style="18" hidden="1" customWidth="1"/>
    <col min="786" max="787" width="8.1796875" style="18" customWidth="1"/>
    <col min="788" max="788" width="8.7265625" style="18" customWidth="1"/>
    <col min="789" max="789" width="0" style="18" hidden="1" customWidth="1"/>
    <col min="790" max="1024" width="9.1796875" style="18"/>
    <col min="1025" max="1025" width="5" style="18" customWidth="1"/>
    <col min="1026" max="1027" width="8.1796875" style="18" customWidth="1"/>
    <col min="1028" max="1029" width="0" style="18" hidden="1" customWidth="1"/>
    <col min="1030" max="1030" width="8.1796875" style="18" customWidth="1"/>
    <col min="1031" max="1037" width="0" style="18" hidden="1" customWidth="1"/>
    <col min="1038" max="1038" width="7.81640625" style="18" customWidth="1"/>
    <col min="1039" max="1039" width="0" style="18" hidden="1" customWidth="1"/>
    <col min="1040" max="1040" width="9.81640625" style="18" customWidth="1"/>
    <col min="1041" max="1041" width="0" style="18" hidden="1" customWidth="1"/>
    <col min="1042" max="1043" width="8.1796875" style="18" customWidth="1"/>
    <col min="1044" max="1044" width="8.7265625" style="18" customWidth="1"/>
    <col min="1045" max="1045" width="0" style="18" hidden="1" customWidth="1"/>
    <col min="1046" max="1280" width="9.1796875" style="18"/>
    <col min="1281" max="1281" width="5" style="18" customWidth="1"/>
    <col min="1282" max="1283" width="8.1796875" style="18" customWidth="1"/>
    <col min="1284" max="1285" width="0" style="18" hidden="1" customWidth="1"/>
    <col min="1286" max="1286" width="8.1796875" style="18" customWidth="1"/>
    <col min="1287" max="1293" width="0" style="18" hidden="1" customWidth="1"/>
    <col min="1294" max="1294" width="7.81640625" style="18" customWidth="1"/>
    <col min="1295" max="1295" width="0" style="18" hidden="1" customWidth="1"/>
    <col min="1296" max="1296" width="9.81640625" style="18" customWidth="1"/>
    <col min="1297" max="1297" width="0" style="18" hidden="1" customWidth="1"/>
    <col min="1298" max="1299" width="8.1796875" style="18" customWidth="1"/>
    <col min="1300" max="1300" width="8.7265625" style="18" customWidth="1"/>
    <col min="1301" max="1301" width="0" style="18" hidden="1" customWidth="1"/>
    <col min="1302" max="1536" width="9.1796875" style="18"/>
    <col min="1537" max="1537" width="5" style="18" customWidth="1"/>
    <col min="1538" max="1539" width="8.1796875" style="18" customWidth="1"/>
    <col min="1540" max="1541" width="0" style="18" hidden="1" customWidth="1"/>
    <col min="1542" max="1542" width="8.1796875" style="18" customWidth="1"/>
    <col min="1543" max="1549" width="0" style="18" hidden="1" customWidth="1"/>
    <col min="1550" max="1550" width="7.81640625" style="18" customWidth="1"/>
    <col min="1551" max="1551" width="0" style="18" hidden="1" customWidth="1"/>
    <col min="1552" max="1552" width="9.81640625" style="18" customWidth="1"/>
    <col min="1553" max="1553" width="0" style="18" hidden="1" customWidth="1"/>
    <col min="1554" max="1555" width="8.1796875" style="18" customWidth="1"/>
    <col min="1556" max="1556" width="8.7265625" style="18" customWidth="1"/>
    <col min="1557" max="1557" width="0" style="18" hidden="1" customWidth="1"/>
    <col min="1558" max="1792" width="9.1796875" style="18"/>
    <col min="1793" max="1793" width="5" style="18" customWidth="1"/>
    <col min="1794" max="1795" width="8.1796875" style="18" customWidth="1"/>
    <col min="1796" max="1797" width="0" style="18" hidden="1" customWidth="1"/>
    <col min="1798" max="1798" width="8.1796875" style="18" customWidth="1"/>
    <col min="1799" max="1805" width="0" style="18" hidden="1" customWidth="1"/>
    <col min="1806" max="1806" width="7.81640625" style="18" customWidth="1"/>
    <col min="1807" max="1807" width="0" style="18" hidden="1" customWidth="1"/>
    <col min="1808" max="1808" width="9.81640625" style="18" customWidth="1"/>
    <col min="1809" max="1809" width="0" style="18" hidden="1" customWidth="1"/>
    <col min="1810" max="1811" width="8.1796875" style="18" customWidth="1"/>
    <col min="1812" max="1812" width="8.7265625" style="18" customWidth="1"/>
    <col min="1813" max="1813" width="0" style="18" hidden="1" customWidth="1"/>
    <col min="1814" max="2048" width="9.1796875" style="18"/>
    <col min="2049" max="2049" width="5" style="18" customWidth="1"/>
    <col min="2050" max="2051" width="8.1796875" style="18" customWidth="1"/>
    <col min="2052" max="2053" width="0" style="18" hidden="1" customWidth="1"/>
    <col min="2054" max="2054" width="8.1796875" style="18" customWidth="1"/>
    <col min="2055" max="2061" width="0" style="18" hidden="1" customWidth="1"/>
    <col min="2062" max="2062" width="7.81640625" style="18" customWidth="1"/>
    <col min="2063" max="2063" width="0" style="18" hidden="1" customWidth="1"/>
    <col min="2064" max="2064" width="9.81640625" style="18" customWidth="1"/>
    <col min="2065" max="2065" width="0" style="18" hidden="1" customWidth="1"/>
    <col min="2066" max="2067" width="8.1796875" style="18" customWidth="1"/>
    <col min="2068" max="2068" width="8.7265625" style="18" customWidth="1"/>
    <col min="2069" max="2069" width="0" style="18" hidden="1" customWidth="1"/>
    <col min="2070" max="2304" width="9.1796875" style="18"/>
    <col min="2305" max="2305" width="5" style="18" customWidth="1"/>
    <col min="2306" max="2307" width="8.1796875" style="18" customWidth="1"/>
    <col min="2308" max="2309" width="0" style="18" hidden="1" customWidth="1"/>
    <col min="2310" max="2310" width="8.1796875" style="18" customWidth="1"/>
    <col min="2311" max="2317" width="0" style="18" hidden="1" customWidth="1"/>
    <col min="2318" max="2318" width="7.81640625" style="18" customWidth="1"/>
    <col min="2319" max="2319" width="0" style="18" hidden="1" customWidth="1"/>
    <col min="2320" max="2320" width="9.81640625" style="18" customWidth="1"/>
    <col min="2321" max="2321" width="0" style="18" hidden="1" customWidth="1"/>
    <col min="2322" max="2323" width="8.1796875" style="18" customWidth="1"/>
    <col min="2324" max="2324" width="8.7265625" style="18" customWidth="1"/>
    <col min="2325" max="2325" width="0" style="18" hidden="1" customWidth="1"/>
    <col min="2326" max="2560" width="9.1796875" style="18"/>
    <col min="2561" max="2561" width="5" style="18" customWidth="1"/>
    <col min="2562" max="2563" width="8.1796875" style="18" customWidth="1"/>
    <col min="2564" max="2565" width="0" style="18" hidden="1" customWidth="1"/>
    <col min="2566" max="2566" width="8.1796875" style="18" customWidth="1"/>
    <col min="2567" max="2573" width="0" style="18" hidden="1" customWidth="1"/>
    <col min="2574" max="2574" width="7.81640625" style="18" customWidth="1"/>
    <col min="2575" max="2575" width="0" style="18" hidden="1" customWidth="1"/>
    <col min="2576" max="2576" width="9.81640625" style="18" customWidth="1"/>
    <col min="2577" max="2577" width="0" style="18" hidden="1" customWidth="1"/>
    <col min="2578" max="2579" width="8.1796875" style="18" customWidth="1"/>
    <col min="2580" max="2580" width="8.7265625" style="18" customWidth="1"/>
    <col min="2581" max="2581" width="0" style="18" hidden="1" customWidth="1"/>
    <col min="2582" max="2816" width="9.1796875" style="18"/>
    <col min="2817" max="2817" width="5" style="18" customWidth="1"/>
    <col min="2818" max="2819" width="8.1796875" style="18" customWidth="1"/>
    <col min="2820" max="2821" width="0" style="18" hidden="1" customWidth="1"/>
    <col min="2822" max="2822" width="8.1796875" style="18" customWidth="1"/>
    <col min="2823" max="2829" width="0" style="18" hidden="1" customWidth="1"/>
    <col min="2830" max="2830" width="7.81640625" style="18" customWidth="1"/>
    <col min="2831" max="2831" width="0" style="18" hidden="1" customWidth="1"/>
    <col min="2832" max="2832" width="9.81640625" style="18" customWidth="1"/>
    <col min="2833" max="2833" width="0" style="18" hidden="1" customWidth="1"/>
    <col min="2834" max="2835" width="8.1796875" style="18" customWidth="1"/>
    <col min="2836" max="2836" width="8.7265625" style="18" customWidth="1"/>
    <col min="2837" max="2837" width="0" style="18" hidden="1" customWidth="1"/>
    <col min="2838" max="3072" width="9.1796875" style="18"/>
    <col min="3073" max="3073" width="5" style="18" customWidth="1"/>
    <col min="3074" max="3075" width="8.1796875" style="18" customWidth="1"/>
    <col min="3076" max="3077" width="0" style="18" hidden="1" customWidth="1"/>
    <col min="3078" max="3078" width="8.1796875" style="18" customWidth="1"/>
    <col min="3079" max="3085" width="0" style="18" hidden="1" customWidth="1"/>
    <col min="3086" max="3086" width="7.81640625" style="18" customWidth="1"/>
    <col min="3087" max="3087" width="0" style="18" hidden="1" customWidth="1"/>
    <col min="3088" max="3088" width="9.81640625" style="18" customWidth="1"/>
    <col min="3089" max="3089" width="0" style="18" hidden="1" customWidth="1"/>
    <col min="3090" max="3091" width="8.1796875" style="18" customWidth="1"/>
    <col min="3092" max="3092" width="8.7265625" style="18" customWidth="1"/>
    <col min="3093" max="3093" width="0" style="18" hidden="1" customWidth="1"/>
    <col min="3094" max="3328" width="9.1796875" style="18"/>
    <col min="3329" max="3329" width="5" style="18" customWidth="1"/>
    <col min="3330" max="3331" width="8.1796875" style="18" customWidth="1"/>
    <col min="3332" max="3333" width="0" style="18" hidden="1" customWidth="1"/>
    <col min="3334" max="3334" width="8.1796875" style="18" customWidth="1"/>
    <col min="3335" max="3341" width="0" style="18" hidden="1" customWidth="1"/>
    <col min="3342" max="3342" width="7.81640625" style="18" customWidth="1"/>
    <col min="3343" max="3343" width="0" style="18" hidden="1" customWidth="1"/>
    <col min="3344" max="3344" width="9.81640625" style="18" customWidth="1"/>
    <col min="3345" max="3345" width="0" style="18" hidden="1" customWidth="1"/>
    <col min="3346" max="3347" width="8.1796875" style="18" customWidth="1"/>
    <col min="3348" max="3348" width="8.7265625" style="18" customWidth="1"/>
    <col min="3349" max="3349" width="0" style="18" hidden="1" customWidth="1"/>
    <col min="3350" max="3584" width="9.1796875" style="18"/>
    <col min="3585" max="3585" width="5" style="18" customWidth="1"/>
    <col min="3586" max="3587" width="8.1796875" style="18" customWidth="1"/>
    <col min="3588" max="3589" width="0" style="18" hidden="1" customWidth="1"/>
    <col min="3590" max="3590" width="8.1796875" style="18" customWidth="1"/>
    <col min="3591" max="3597" width="0" style="18" hidden="1" customWidth="1"/>
    <col min="3598" max="3598" width="7.81640625" style="18" customWidth="1"/>
    <col min="3599" max="3599" width="0" style="18" hidden="1" customWidth="1"/>
    <col min="3600" max="3600" width="9.81640625" style="18" customWidth="1"/>
    <col min="3601" max="3601" width="0" style="18" hidden="1" customWidth="1"/>
    <col min="3602" max="3603" width="8.1796875" style="18" customWidth="1"/>
    <col min="3604" max="3604" width="8.7265625" style="18" customWidth="1"/>
    <col min="3605" max="3605" width="0" style="18" hidden="1" customWidth="1"/>
    <col min="3606" max="3840" width="9.1796875" style="18"/>
    <col min="3841" max="3841" width="5" style="18" customWidth="1"/>
    <col min="3842" max="3843" width="8.1796875" style="18" customWidth="1"/>
    <col min="3844" max="3845" width="0" style="18" hidden="1" customWidth="1"/>
    <col min="3846" max="3846" width="8.1796875" style="18" customWidth="1"/>
    <col min="3847" max="3853" width="0" style="18" hidden="1" customWidth="1"/>
    <col min="3854" max="3854" width="7.81640625" style="18" customWidth="1"/>
    <col min="3855" max="3855" width="0" style="18" hidden="1" customWidth="1"/>
    <col min="3856" max="3856" width="9.81640625" style="18" customWidth="1"/>
    <col min="3857" max="3857" width="0" style="18" hidden="1" customWidth="1"/>
    <col min="3858" max="3859" width="8.1796875" style="18" customWidth="1"/>
    <col min="3860" max="3860" width="8.7265625" style="18" customWidth="1"/>
    <col min="3861" max="3861" width="0" style="18" hidden="1" customWidth="1"/>
    <col min="3862" max="4096" width="9.1796875" style="18"/>
    <col min="4097" max="4097" width="5" style="18" customWidth="1"/>
    <col min="4098" max="4099" width="8.1796875" style="18" customWidth="1"/>
    <col min="4100" max="4101" width="0" style="18" hidden="1" customWidth="1"/>
    <col min="4102" max="4102" width="8.1796875" style="18" customWidth="1"/>
    <col min="4103" max="4109" width="0" style="18" hidden="1" customWidth="1"/>
    <col min="4110" max="4110" width="7.81640625" style="18" customWidth="1"/>
    <col min="4111" max="4111" width="0" style="18" hidden="1" customWidth="1"/>
    <col min="4112" max="4112" width="9.81640625" style="18" customWidth="1"/>
    <col min="4113" max="4113" width="0" style="18" hidden="1" customWidth="1"/>
    <col min="4114" max="4115" width="8.1796875" style="18" customWidth="1"/>
    <col min="4116" max="4116" width="8.7265625" style="18" customWidth="1"/>
    <col min="4117" max="4117" width="0" style="18" hidden="1" customWidth="1"/>
    <col min="4118" max="4352" width="9.1796875" style="18"/>
    <col min="4353" max="4353" width="5" style="18" customWidth="1"/>
    <col min="4354" max="4355" width="8.1796875" style="18" customWidth="1"/>
    <col min="4356" max="4357" width="0" style="18" hidden="1" customWidth="1"/>
    <col min="4358" max="4358" width="8.1796875" style="18" customWidth="1"/>
    <col min="4359" max="4365" width="0" style="18" hidden="1" customWidth="1"/>
    <col min="4366" max="4366" width="7.81640625" style="18" customWidth="1"/>
    <col min="4367" max="4367" width="0" style="18" hidden="1" customWidth="1"/>
    <col min="4368" max="4368" width="9.81640625" style="18" customWidth="1"/>
    <col min="4369" max="4369" width="0" style="18" hidden="1" customWidth="1"/>
    <col min="4370" max="4371" width="8.1796875" style="18" customWidth="1"/>
    <col min="4372" max="4372" width="8.7265625" style="18" customWidth="1"/>
    <col min="4373" max="4373" width="0" style="18" hidden="1" customWidth="1"/>
    <col min="4374" max="4608" width="9.1796875" style="18"/>
    <col min="4609" max="4609" width="5" style="18" customWidth="1"/>
    <col min="4610" max="4611" width="8.1796875" style="18" customWidth="1"/>
    <col min="4612" max="4613" width="0" style="18" hidden="1" customWidth="1"/>
    <col min="4614" max="4614" width="8.1796875" style="18" customWidth="1"/>
    <col min="4615" max="4621" width="0" style="18" hidden="1" customWidth="1"/>
    <col min="4622" max="4622" width="7.81640625" style="18" customWidth="1"/>
    <col min="4623" max="4623" width="0" style="18" hidden="1" customWidth="1"/>
    <col min="4624" max="4624" width="9.81640625" style="18" customWidth="1"/>
    <col min="4625" max="4625" width="0" style="18" hidden="1" customWidth="1"/>
    <col min="4626" max="4627" width="8.1796875" style="18" customWidth="1"/>
    <col min="4628" max="4628" width="8.7265625" style="18" customWidth="1"/>
    <col min="4629" max="4629" width="0" style="18" hidden="1" customWidth="1"/>
    <col min="4630" max="4864" width="9.1796875" style="18"/>
    <col min="4865" max="4865" width="5" style="18" customWidth="1"/>
    <col min="4866" max="4867" width="8.1796875" style="18" customWidth="1"/>
    <col min="4868" max="4869" width="0" style="18" hidden="1" customWidth="1"/>
    <col min="4870" max="4870" width="8.1796875" style="18" customWidth="1"/>
    <col min="4871" max="4877" width="0" style="18" hidden="1" customWidth="1"/>
    <col min="4878" max="4878" width="7.81640625" style="18" customWidth="1"/>
    <col min="4879" max="4879" width="0" style="18" hidden="1" customWidth="1"/>
    <col min="4880" max="4880" width="9.81640625" style="18" customWidth="1"/>
    <col min="4881" max="4881" width="0" style="18" hidden="1" customWidth="1"/>
    <col min="4882" max="4883" width="8.1796875" style="18" customWidth="1"/>
    <col min="4884" max="4884" width="8.7265625" style="18" customWidth="1"/>
    <col min="4885" max="4885" width="0" style="18" hidden="1" customWidth="1"/>
    <col min="4886" max="5120" width="9.1796875" style="18"/>
    <col min="5121" max="5121" width="5" style="18" customWidth="1"/>
    <col min="5122" max="5123" width="8.1796875" style="18" customWidth="1"/>
    <col min="5124" max="5125" width="0" style="18" hidden="1" customWidth="1"/>
    <col min="5126" max="5126" width="8.1796875" style="18" customWidth="1"/>
    <col min="5127" max="5133" width="0" style="18" hidden="1" customWidth="1"/>
    <col min="5134" max="5134" width="7.81640625" style="18" customWidth="1"/>
    <col min="5135" max="5135" width="0" style="18" hidden="1" customWidth="1"/>
    <col min="5136" max="5136" width="9.81640625" style="18" customWidth="1"/>
    <col min="5137" max="5137" width="0" style="18" hidden="1" customWidth="1"/>
    <col min="5138" max="5139" width="8.1796875" style="18" customWidth="1"/>
    <col min="5140" max="5140" width="8.7265625" style="18" customWidth="1"/>
    <col min="5141" max="5141" width="0" style="18" hidden="1" customWidth="1"/>
    <col min="5142" max="5376" width="9.1796875" style="18"/>
    <col min="5377" max="5377" width="5" style="18" customWidth="1"/>
    <col min="5378" max="5379" width="8.1796875" style="18" customWidth="1"/>
    <col min="5380" max="5381" width="0" style="18" hidden="1" customWidth="1"/>
    <col min="5382" max="5382" width="8.1796875" style="18" customWidth="1"/>
    <col min="5383" max="5389" width="0" style="18" hidden="1" customWidth="1"/>
    <col min="5390" max="5390" width="7.81640625" style="18" customWidth="1"/>
    <col min="5391" max="5391" width="0" style="18" hidden="1" customWidth="1"/>
    <col min="5392" max="5392" width="9.81640625" style="18" customWidth="1"/>
    <col min="5393" max="5393" width="0" style="18" hidden="1" customWidth="1"/>
    <col min="5394" max="5395" width="8.1796875" style="18" customWidth="1"/>
    <col min="5396" max="5396" width="8.7265625" style="18" customWidth="1"/>
    <col min="5397" max="5397" width="0" style="18" hidden="1" customWidth="1"/>
    <col min="5398" max="5632" width="9.1796875" style="18"/>
    <col min="5633" max="5633" width="5" style="18" customWidth="1"/>
    <col min="5634" max="5635" width="8.1796875" style="18" customWidth="1"/>
    <col min="5636" max="5637" width="0" style="18" hidden="1" customWidth="1"/>
    <col min="5638" max="5638" width="8.1796875" style="18" customWidth="1"/>
    <col min="5639" max="5645" width="0" style="18" hidden="1" customWidth="1"/>
    <col min="5646" max="5646" width="7.81640625" style="18" customWidth="1"/>
    <col min="5647" max="5647" width="0" style="18" hidden="1" customWidth="1"/>
    <col min="5648" max="5648" width="9.81640625" style="18" customWidth="1"/>
    <col min="5649" max="5649" width="0" style="18" hidden="1" customWidth="1"/>
    <col min="5650" max="5651" width="8.1796875" style="18" customWidth="1"/>
    <col min="5652" max="5652" width="8.7265625" style="18" customWidth="1"/>
    <col min="5653" max="5653" width="0" style="18" hidden="1" customWidth="1"/>
    <col min="5654" max="5888" width="9.1796875" style="18"/>
    <col min="5889" max="5889" width="5" style="18" customWidth="1"/>
    <col min="5890" max="5891" width="8.1796875" style="18" customWidth="1"/>
    <col min="5892" max="5893" width="0" style="18" hidden="1" customWidth="1"/>
    <col min="5894" max="5894" width="8.1796875" style="18" customWidth="1"/>
    <col min="5895" max="5901" width="0" style="18" hidden="1" customWidth="1"/>
    <col min="5902" max="5902" width="7.81640625" style="18" customWidth="1"/>
    <col min="5903" max="5903" width="0" style="18" hidden="1" customWidth="1"/>
    <col min="5904" max="5904" width="9.81640625" style="18" customWidth="1"/>
    <col min="5905" max="5905" width="0" style="18" hidden="1" customWidth="1"/>
    <col min="5906" max="5907" width="8.1796875" style="18" customWidth="1"/>
    <col min="5908" max="5908" width="8.7265625" style="18" customWidth="1"/>
    <col min="5909" max="5909" width="0" style="18" hidden="1" customWidth="1"/>
    <col min="5910" max="6144" width="9.1796875" style="18"/>
    <col min="6145" max="6145" width="5" style="18" customWidth="1"/>
    <col min="6146" max="6147" width="8.1796875" style="18" customWidth="1"/>
    <col min="6148" max="6149" width="0" style="18" hidden="1" customWidth="1"/>
    <col min="6150" max="6150" width="8.1796875" style="18" customWidth="1"/>
    <col min="6151" max="6157" width="0" style="18" hidden="1" customWidth="1"/>
    <col min="6158" max="6158" width="7.81640625" style="18" customWidth="1"/>
    <col min="6159" max="6159" width="0" style="18" hidden="1" customWidth="1"/>
    <col min="6160" max="6160" width="9.81640625" style="18" customWidth="1"/>
    <col min="6161" max="6161" width="0" style="18" hidden="1" customWidth="1"/>
    <col min="6162" max="6163" width="8.1796875" style="18" customWidth="1"/>
    <col min="6164" max="6164" width="8.7265625" style="18" customWidth="1"/>
    <col min="6165" max="6165" width="0" style="18" hidden="1" customWidth="1"/>
    <col min="6166" max="6400" width="9.1796875" style="18"/>
    <col min="6401" max="6401" width="5" style="18" customWidth="1"/>
    <col min="6402" max="6403" width="8.1796875" style="18" customWidth="1"/>
    <col min="6404" max="6405" width="0" style="18" hidden="1" customWidth="1"/>
    <col min="6406" max="6406" width="8.1796875" style="18" customWidth="1"/>
    <col min="6407" max="6413" width="0" style="18" hidden="1" customWidth="1"/>
    <col min="6414" max="6414" width="7.81640625" style="18" customWidth="1"/>
    <col min="6415" max="6415" width="0" style="18" hidden="1" customWidth="1"/>
    <col min="6416" max="6416" width="9.81640625" style="18" customWidth="1"/>
    <col min="6417" max="6417" width="0" style="18" hidden="1" customWidth="1"/>
    <col min="6418" max="6419" width="8.1796875" style="18" customWidth="1"/>
    <col min="6420" max="6420" width="8.7265625" style="18" customWidth="1"/>
    <col min="6421" max="6421" width="0" style="18" hidden="1" customWidth="1"/>
    <col min="6422" max="6656" width="9.1796875" style="18"/>
    <col min="6657" max="6657" width="5" style="18" customWidth="1"/>
    <col min="6658" max="6659" width="8.1796875" style="18" customWidth="1"/>
    <col min="6660" max="6661" width="0" style="18" hidden="1" customWidth="1"/>
    <col min="6662" max="6662" width="8.1796875" style="18" customWidth="1"/>
    <col min="6663" max="6669" width="0" style="18" hidden="1" customWidth="1"/>
    <col min="6670" max="6670" width="7.81640625" style="18" customWidth="1"/>
    <col min="6671" max="6671" width="0" style="18" hidden="1" customWidth="1"/>
    <col min="6672" max="6672" width="9.81640625" style="18" customWidth="1"/>
    <col min="6673" max="6673" width="0" style="18" hidden="1" customWidth="1"/>
    <col min="6674" max="6675" width="8.1796875" style="18" customWidth="1"/>
    <col min="6676" max="6676" width="8.7265625" style="18" customWidth="1"/>
    <col min="6677" max="6677" width="0" style="18" hidden="1" customWidth="1"/>
    <col min="6678" max="6912" width="9.1796875" style="18"/>
    <col min="6913" max="6913" width="5" style="18" customWidth="1"/>
    <col min="6914" max="6915" width="8.1796875" style="18" customWidth="1"/>
    <col min="6916" max="6917" width="0" style="18" hidden="1" customWidth="1"/>
    <col min="6918" max="6918" width="8.1796875" style="18" customWidth="1"/>
    <col min="6919" max="6925" width="0" style="18" hidden="1" customWidth="1"/>
    <col min="6926" max="6926" width="7.81640625" style="18" customWidth="1"/>
    <col min="6927" max="6927" width="0" style="18" hidden="1" customWidth="1"/>
    <col min="6928" max="6928" width="9.81640625" style="18" customWidth="1"/>
    <col min="6929" max="6929" width="0" style="18" hidden="1" customWidth="1"/>
    <col min="6930" max="6931" width="8.1796875" style="18" customWidth="1"/>
    <col min="6932" max="6932" width="8.7265625" style="18" customWidth="1"/>
    <col min="6933" max="6933" width="0" style="18" hidden="1" customWidth="1"/>
    <col min="6934" max="7168" width="9.1796875" style="18"/>
    <col min="7169" max="7169" width="5" style="18" customWidth="1"/>
    <col min="7170" max="7171" width="8.1796875" style="18" customWidth="1"/>
    <col min="7172" max="7173" width="0" style="18" hidden="1" customWidth="1"/>
    <col min="7174" max="7174" width="8.1796875" style="18" customWidth="1"/>
    <col min="7175" max="7181" width="0" style="18" hidden="1" customWidth="1"/>
    <col min="7182" max="7182" width="7.81640625" style="18" customWidth="1"/>
    <col min="7183" max="7183" width="0" style="18" hidden="1" customWidth="1"/>
    <col min="7184" max="7184" width="9.81640625" style="18" customWidth="1"/>
    <col min="7185" max="7185" width="0" style="18" hidden="1" customWidth="1"/>
    <col min="7186" max="7187" width="8.1796875" style="18" customWidth="1"/>
    <col min="7188" max="7188" width="8.7265625" style="18" customWidth="1"/>
    <col min="7189" max="7189" width="0" style="18" hidden="1" customWidth="1"/>
    <col min="7190" max="7424" width="9.1796875" style="18"/>
    <col min="7425" max="7425" width="5" style="18" customWidth="1"/>
    <col min="7426" max="7427" width="8.1796875" style="18" customWidth="1"/>
    <col min="7428" max="7429" width="0" style="18" hidden="1" customWidth="1"/>
    <col min="7430" max="7430" width="8.1796875" style="18" customWidth="1"/>
    <col min="7431" max="7437" width="0" style="18" hidden="1" customWidth="1"/>
    <col min="7438" max="7438" width="7.81640625" style="18" customWidth="1"/>
    <col min="7439" max="7439" width="0" style="18" hidden="1" customWidth="1"/>
    <col min="7440" max="7440" width="9.81640625" style="18" customWidth="1"/>
    <col min="7441" max="7441" width="0" style="18" hidden="1" customWidth="1"/>
    <col min="7442" max="7443" width="8.1796875" style="18" customWidth="1"/>
    <col min="7444" max="7444" width="8.7265625" style="18" customWidth="1"/>
    <col min="7445" max="7445" width="0" style="18" hidden="1" customWidth="1"/>
    <col min="7446" max="7680" width="9.1796875" style="18"/>
    <col min="7681" max="7681" width="5" style="18" customWidth="1"/>
    <col min="7682" max="7683" width="8.1796875" style="18" customWidth="1"/>
    <col min="7684" max="7685" width="0" style="18" hidden="1" customWidth="1"/>
    <col min="7686" max="7686" width="8.1796875" style="18" customWidth="1"/>
    <col min="7687" max="7693" width="0" style="18" hidden="1" customWidth="1"/>
    <col min="7694" max="7694" width="7.81640625" style="18" customWidth="1"/>
    <col min="7695" max="7695" width="0" style="18" hidden="1" customWidth="1"/>
    <col min="7696" max="7696" width="9.81640625" style="18" customWidth="1"/>
    <col min="7697" max="7697" width="0" style="18" hidden="1" customWidth="1"/>
    <col min="7698" max="7699" width="8.1796875" style="18" customWidth="1"/>
    <col min="7700" max="7700" width="8.7265625" style="18" customWidth="1"/>
    <col min="7701" max="7701" width="0" style="18" hidden="1" customWidth="1"/>
    <col min="7702" max="7936" width="9.1796875" style="18"/>
    <col min="7937" max="7937" width="5" style="18" customWidth="1"/>
    <col min="7938" max="7939" width="8.1796875" style="18" customWidth="1"/>
    <col min="7940" max="7941" width="0" style="18" hidden="1" customWidth="1"/>
    <col min="7942" max="7942" width="8.1796875" style="18" customWidth="1"/>
    <col min="7943" max="7949" width="0" style="18" hidden="1" customWidth="1"/>
    <col min="7950" max="7950" width="7.81640625" style="18" customWidth="1"/>
    <col min="7951" max="7951" width="0" style="18" hidden="1" customWidth="1"/>
    <col min="7952" max="7952" width="9.81640625" style="18" customWidth="1"/>
    <col min="7953" max="7953" width="0" style="18" hidden="1" customWidth="1"/>
    <col min="7954" max="7955" width="8.1796875" style="18" customWidth="1"/>
    <col min="7956" max="7956" width="8.7265625" style="18" customWidth="1"/>
    <col min="7957" max="7957" width="0" style="18" hidden="1" customWidth="1"/>
    <col min="7958" max="8192" width="9.1796875" style="18"/>
    <col min="8193" max="8193" width="5" style="18" customWidth="1"/>
    <col min="8194" max="8195" width="8.1796875" style="18" customWidth="1"/>
    <col min="8196" max="8197" width="0" style="18" hidden="1" customWidth="1"/>
    <col min="8198" max="8198" width="8.1796875" style="18" customWidth="1"/>
    <col min="8199" max="8205" width="0" style="18" hidden="1" customWidth="1"/>
    <col min="8206" max="8206" width="7.81640625" style="18" customWidth="1"/>
    <col min="8207" max="8207" width="0" style="18" hidden="1" customWidth="1"/>
    <col min="8208" max="8208" width="9.81640625" style="18" customWidth="1"/>
    <col min="8209" max="8209" width="0" style="18" hidden="1" customWidth="1"/>
    <col min="8210" max="8211" width="8.1796875" style="18" customWidth="1"/>
    <col min="8212" max="8212" width="8.7265625" style="18" customWidth="1"/>
    <col min="8213" max="8213" width="0" style="18" hidden="1" customWidth="1"/>
    <col min="8214" max="8448" width="9.1796875" style="18"/>
    <col min="8449" max="8449" width="5" style="18" customWidth="1"/>
    <col min="8450" max="8451" width="8.1796875" style="18" customWidth="1"/>
    <col min="8452" max="8453" width="0" style="18" hidden="1" customWidth="1"/>
    <col min="8454" max="8454" width="8.1796875" style="18" customWidth="1"/>
    <col min="8455" max="8461" width="0" style="18" hidden="1" customWidth="1"/>
    <col min="8462" max="8462" width="7.81640625" style="18" customWidth="1"/>
    <col min="8463" max="8463" width="0" style="18" hidden="1" customWidth="1"/>
    <col min="8464" max="8464" width="9.81640625" style="18" customWidth="1"/>
    <col min="8465" max="8465" width="0" style="18" hidden="1" customWidth="1"/>
    <col min="8466" max="8467" width="8.1796875" style="18" customWidth="1"/>
    <col min="8468" max="8468" width="8.7265625" style="18" customWidth="1"/>
    <col min="8469" max="8469" width="0" style="18" hidden="1" customWidth="1"/>
    <col min="8470" max="8704" width="9.1796875" style="18"/>
    <col min="8705" max="8705" width="5" style="18" customWidth="1"/>
    <col min="8706" max="8707" width="8.1796875" style="18" customWidth="1"/>
    <col min="8708" max="8709" width="0" style="18" hidden="1" customWidth="1"/>
    <col min="8710" max="8710" width="8.1796875" style="18" customWidth="1"/>
    <col min="8711" max="8717" width="0" style="18" hidden="1" customWidth="1"/>
    <col min="8718" max="8718" width="7.81640625" style="18" customWidth="1"/>
    <col min="8719" max="8719" width="0" style="18" hidden="1" customWidth="1"/>
    <col min="8720" max="8720" width="9.81640625" style="18" customWidth="1"/>
    <col min="8721" max="8721" width="0" style="18" hidden="1" customWidth="1"/>
    <col min="8722" max="8723" width="8.1796875" style="18" customWidth="1"/>
    <col min="8724" max="8724" width="8.7265625" style="18" customWidth="1"/>
    <col min="8725" max="8725" width="0" style="18" hidden="1" customWidth="1"/>
    <col min="8726" max="8960" width="9.1796875" style="18"/>
    <col min="8961" max="8961" width="5" style="18" customWidth="1"/>
    <col min="8962" max="8963" width="8.1796875" style="18" customWidth="1"/>
    <col min="8964" max="8965" width="0" style="18" hidden="1" customWidth="1"/>
    <col min="8966" max="8966" width="8.1796875" style="18" customWidth="1"/>
    <col min="8967" max="8973" width="0" style="18" hidden="1" customWidth="1"/>
    <col min="8974" max="8974" width="7.81640625" style="18" customWidth="1"/>
    <col min="8975" max="8975" width="0" style="18" hidden="1" customWidth="1"/>
    <col min="8976" max="8976" width="9.81640625" style="18" customWidth="1"/>
    <col min="8977" max="8977" width="0" style="18" hidden="1" customWidth="1"/>
    <col min="8978" max="8979" width="8.1796875" style="18" customWidth="1"/>
    <col min="8980" max="8980" width="8.7265625" style="18" customWidth="1"/>
    <col min="8981" max="8981" width="0" style="18" hidden="1" customWidth="1"/>
    <col min="8982" max="9216" width="9.1796875" style="18"/>
    <col min="9217" max="9217" width="5" style="18" customWidth="1"/>
    <col min="9218" max="9219" width="8.1796875" style="18" customWidth="1"/>
    <col min="9220" max="9221" width="0" style="18" hidden="1" customWidth="1"/>
    <col min="9222" max="9222" width="8.1796875" style="18" customWidth="1"/>
    <col min="9223" max="9229" width="0" style="18" hidden="1" customWidth="1"/>
    <col min="9230" max="9230" width="7.81640625" style="18" customWidth="1"/>
    <col min="9231" max="9231" width="0" style="18" hidden="1" customWidth="1"/>
    <col min="9232" max="9232" width="9.81640625" style="18" customWidth="1"/>
    <col min="9233" max="9233" width="0" style="18" hidden="1" customWidth="1"/>
    <col min="9234" max="9235" width="8.1796875" style="18" customWidth="1"/>
    <col min="9236" max="9236" width="8.7265625" style="18" customWidth="1"/>
    <col min="9237" max="9237" width="0" style="18" hidden="1" customWidth="1"/>
    <col min="9238" max="9472" width="9.1796875" style="18"/>
    <col min="9473" max="9473" width="5" style="18" customWidth="1"/>
    <col min="9474" max="9475" width="8.1796875" style="18" customWidth="1"/>
    <col min="9476" max="9477" width="0" style="18" hidden="1" customWidth="1"/>
    <col min="9478" max="9478" width="8.1796875" style="18" customWidth="1"/>
    <col min="9479" max="9485" width="0" style="18" hidden="1" customWidth="1"/>
    <col min="9486" max="9486" width="7.81640625" style="18" customWidth="1"/>
    <col min="9487" max="9487" width="0" style="18" hidden="1" customWidth="1"/>
    <col min="9488" max="9488" width="9.81640625" style="18" customWidth="1"/>
    <col min="9489" max="9489" width="0" style="18" hidden="1" customWidth="1"/>
    <col min="9490" max="9491" width="8.1796875" style="18" customWidth="1"/>
    <col min="9492" max="9492" width="8.7265625" style="18" customWidth="1"/>
    <col min="9493" max="9493" width="0" style="18" hidden="1" customWidth="1"/>
    <col min="9494" max="9728" width="9.1796875" style="18"/>
    <col min="9729" max="9729" width="5" style="18" customWidth="1"/>
    <col min="9730" max="9731" width="8.1796875" style="18" customWidth="1"/>
    <col min="9732" max="9733" width="0" style="18" hidden="1" customWidth="1"/>
    <col min="9734" max="9734" width="8.1796875" style="18" customWidth="1"/>
    <col min="9735" max="9741" width="0" style="18" hidden="1" customWidth="1"/>
    <col min="9742" max="9742" width="7.81640625" style="18" customWidth="1"/>
    <col min="9743" max="9743" width="0" style="18" hidden="1" customWidth="1"/>
    <col min="9744" max="9744" width="9.81640625" style="18" customWidth="1"/>
    <col min="9745" max="9745" width="0" style="18" hidden="1" customWidth="1"/>
    <col min="9746" max="9747" width="8.1796875" style="18" customWidth="1"/>
    <col min="9748" max="9748" width="8.7265625" style="18" customWidth="1"/>
    <col min="9749" max="9749" width="0" style="18" hidden="1" customWidth="1"/>
    <col min="9750" max="9984" width="9.1796875" style="18"/>
    <col min="9985" max="9985" width="5" style="18" customWidth="1"/>
    <col min="9986" max="9987" width="8.1796875" style="18" customWidth="1"/>
    <col min="9988" max="9989" width="0" style="18" hidden="1" customWidth="1"/>
    <col min="9990" max="9990" width="8.1796875" style="18" customWidth="1"/>
    <col min="9991" max="9997" width="0" style="18" hidden="1" customWidth="1"/>
    <col min="9998" max="9998" width="7.81640625" style="18" customWidth="1"/>
    <col min="9999" max="9999" width="0" style="18" hidden="1" customWidth="1"/>
    <col min="10000" max="10000" width="9.81640625" style="18" customWidth="1"/>
    <col min="10001" max="10001" width="0" style="18" hidden="1" customWidth="1"/>
    <col min="10002" max="10003" width="8.1796875" style="18" customWidth="1"/>
    <col min="10004" max="10004" width="8.7265625" style="18" customWidth="1"/>
    <col min="10005" max="10005" width="0" style="18" hidden="1" customWidth="1"/>
    <col min="10006" max="10240" width="9.1796875" style="18"/>
    <col min="10241" max="10241" width="5" style="18" customWidth="1"/>
    <col min="10242" max="10243" width="8.1796875" style="18" customWidth="1"/>
    <col min="10244" max="10245" width="0" style="18" hidden="1" customWidth="1"/>
    <col min="10246" max="10246" width="8.1796875" style="18" customWidth="1"/>
    <col min="10247" max="10253" width="0" style="18" hidden="1" customWidth="1"/>
    <col min="10254" max="10254" width="7.81640625" style="18" customWidth="1"/>
    <col min="10255" max="10255" width="0" style="18" hidden="1" customWidth="1"/>
    <col min="10256" max="10256" width="9.81640625" style="18" customWidth="1"/>
    <col min="10257" max="10257" width="0" style="18" hidden="1" customWidth="1"/>
    <col min="10258" max="10259" width="8.1796875" style="18" customWidth="1"/>
    <col min="10260" max="10260" width="8.7265625" style="18" customWidth="1"/>
    <col min="10261" max="10261" width="0" style="18" hidden="1" customWidth="1"/>
    <col min="10262" max="10496" width="9.1796875" style="18"/>
    <col min="10497" max="10497" width="5" style="18" customWidth="1"/>
    <col min="10498" max="10499" width="8.1796875" style="18" customWidth="1"/>
    <col min="10500" max="10501" width="0" style="18" hidden="1" customWidth="1"/>
    <col min="10502" max="10502" width="8.1796875" style="18" customWidth="1"/>
    <col min="10503" max="10509" width="0" style="18" hidden="1" customWidth="1"/>
    <col min="10510" max="10510" width="7.81640625" style="18" customWidth="1"/>
    <col min="10511" max="10511" width="0" style="18" hidden="1" customWidth="1"/>
    <col min="10512" max="10512" width="9.81640625" style="18" customWidth="1"/>
    <col min="10513" max="10513" width="0" style="18" hidden="1" customWidth="1"/>
    <col min="10514" max="10515" width="8.1796875" style="18" customWidth="1"/>
    <col min="10516" max="10516" width="8.7265625" style="18" customWidth="1"/>
    <col min="10517" max="10517" width="0" style="18" hidden="1" customWidth="1"/>
    <col min="10518" max="10752" width="9.1796875" style="18"/>
    <col min="10753" max="10753" width="5" style="18" customWidth="1"/>
    <col min="10754" max="10755" width="8.1796875" style="18" customWidth="1"/>
    <col min="10756" max="10757" width="0" style="18" hidden="1" customWidth="1"/>
    <col min="10758" max="10758" width="8.1796875" style="18" customWidth="1"/>
    <col min="10759" max="10765" width="0" style="18" hidden="1" customWidth="1"/>
    <col min="10766" max="10766" width="7.81640625" style="18" customWidth="1"/>
    <col min="10767" max="10767" width="0" style="18" hidden="1" customWidth="1"/>
    <col min="10768" max="10768" width="9.81640625" style="18" customWidth="1"/>
    <col min="10769" max="10769" width="0" style="18" hidden="1" customWidth="1"/>
    <col min="10770" max="10771" width="8.1796875" style="18" customWidth="1"/>
    <col min="10772" max="10772" width="8.7265625" style="18" customWidth="1"/>
    <col min="10773" max="10773" width="0" style="18" hidden="1" customWidth="1"/>
    <col min="10774" max="11008" width="9.1796875" style="18"/>
    <col min="11009" max="11009" width="5" style="18" customWidth="1"/>
    <col min="11010" max="11011" width="8.1796875" style="18" customWidth="1"/>
    <col min="11012" max="11013" width="0" style="18" hidden="1" customWidth="1"/>
    <col min="11014" max="11014" width="8.1796875" style="18" customWidth="1"/>
    <col min="11015" max="11021" width="0" style="18" hidden="1" customWidth="1"/>
    <col min="11022" max="11022" width="7.81640625" style="18" customWidth="1"/>
    <col min="11023" max="11023" width="0" style="18" hidden="1" customWidth="1"/>
    <col min="11024" max="11024" width="9.81640625" style="18" customWidth="1"/>
    <col min="11025" max="11025" width="0" style="18" hidden="1" customWidth="1"/>
    <col min="11026" max="11027" width="8.1796875" style="18" customWidth="1"/>
    <col min="11028" max="11028" width="8.7265625" style="18" customWidth="1"/>
    <col min="11029" max="11029" width="0" style="18" hidden="1" customWidth="1"/>
    <col min="11030" max="11264" width="9.1796875" style="18"/>
    <col min="11265" max="11265" width="5" style="18" customWidth="1"/>
    <col min="11266" max="11267" width="8.1796875" style="18" customWidth="1"/>
    <col min="11268" max="11269" width="0" style="18" hidden="1" customWidth="1"/>
    <col min="11270" max="11270" width="8.1796875" style="18" customWidth="1"/>
    <col min="11271" max="11277" width="0" style="18" hidden="1" customWidth="1"/>
    <col min="11278" max="11278" width="7.81640625" style="18" customWidth="1"/>
    <col min="11279" max="11279" width="0" style="18" hidden="1" customWidth="1"/>
    <col min="11280" max="11280" width="9.81640625" style="18" customWidth="1"/>
    <col min="11281" max="11281" width="0" style="18" hidden="1" customWidth="1"/>
    <col min="11282" max="11283" width="8.1796875" style="18" customWidth="1"/>
    <col min="11284" max="11284" width="8.7265625" style="18" customWidth="1"/>
    <col min="11285" max="11285" width="0" style="18" hidden="1" customWidth="1"/>
    <col min="11286" max="11520" width="9.1796875" style="18"/>
    <col min="11521" max="11521" width="5" style="18" customWidth="1"/>
    <col min="11522" max="11523" width="8.1796875" style="18" customWidth="1"/>
    <col min="11524" max="11525" width="0" style="18" hidden="1" customWidth="1"/>
    <col min="11526" max="11526" width="8.1796875" style="18" customWidth="1"/>
    <col min="11527" max="11533" width="0" style="18" hidden="1" customWidth="1"/>
    <col min="11534" max="11534" width="7.81640625" style="18" customWidth="1"/>
    <col min="11535" max="11535" width="0" style="18" hidden="1" customWidth="1"/>
    <col min="11536" max="11536" width="9.81640625" style="18" customWidth="1"/>
    <col min="11537" max="11537" width="0" style="18" hidden="1" customWidth="1"/>
    <col min="11538" max="11539" width="8.1796875" style="18" customWidth="1"/>
    <col min="11540" max="11540" width="8.7265625" style="18" customWidth="1"/>
    <col min="11541" max="11541" width="0" style="18" hidden="1" customWidth="1"/>
    <col min="11542" max="11776" width="9.1796875" style="18"/>
    <col min="11777" max="11777" width="5" style="18" customWidth="1"/>
    <col min="11778" max="11779" width="8.1796875" style="18" customWidth="1"/>
    <col min="11780" max="11781" width="0" style="18" hidden="1" customWidth="1"/>
    <col min="11782" max="11782" width="8.1796875" style="18" customWidth="1"/>
    <col min="11783" max="11789" width="0" style="18" hidden="1" customWidth="1"/>
    <col min="11790" max="11790" width="7.81640625" style="18" customWidth="1"/>
    <col min="11791" max="11791" width="0" style="18" hidden="1" customWidth="1"/>
    <col min="11792" max="11792" width="9.81640625" style="18" customWidth="1"/>
    <col min="11793" max="11793" width="0" style="18" hidden="1" customWidth="1"/>
    <col min="11794" max="11795" width="8.1796875" style="18" customWidth="1"/>
    <col min="11796" max="11796" width="8.7265625" style="18" customWidth="1"/>
    <col min="11797" max="11797" width="0" style="18" hidden="1" customWidth="1"/>
    <col min="11798" max="12032" width="9.1796875" style="18"/>
    <col min="12033" max="12033" width="5" style="18" customWidth="1"/>
    <col min="12034" max="12035" width="8.1796875" style="18" customWidth="1"/>
    <col min="12036" max="12037" width="0" style="18" hidden="1" customWidth="1"/>
    <col min="12038" max="12038" width="8.1796875" style="18" customWidth="1"/>
    <col min="12039" max="12045" width="0" style="18" hidden="1" customWidth="1"/>
    <col min="12046" max="12046" width="7.81640625" style="18" customWidth="1"/>
    <col min="12047" max="12047" width="0" style="18" hidden="1" customWidth="1"/>
    <col min="12048" max="12048" width="9.81640625" style="18" customWidth="1"/>
    <col min="12049" max="12049" width="0" style="18" hidden="1" customWidth="1"/>
    <col min="12050" max="12051" width="8.1796875" style="18" customWidth="1"/>
    <col min="12052" max="12052" width="8.7265625" style="18" customWidth="1"/>
    <col min="12053" max="12053" width="0" style="18" hidden="1" customWidth="1"/>
    <col min="12054" max="12288" width="9.1796875" style="18"/>
    <col min="12289" max="12289" width="5" style="18" customWidth="1"/>
    <col min="12290" max="12291" width="8.1796875" style="18" customWidth="1"/>
    <col min="12292" max="12293" width="0" style="18" hidden="1" customWidth="1"/>
    <col min="12294" max="12294" width="8.1796875" style="18" customWidth="1"/>
    <col min="12295" max="12301" width="0" style="18" hidden="1" customWidth="1"/>
    <col min="12302" max="12302" width="7.81640625" style="18" customWidth="1"/>
    <col min="12303" max="12303" width="0" style="18" hidden="1" customWidth="1"/>
    <col min="12304" max="12304" width="9.81640625" style="18" customWidth="1"/>
    <col min="12305" max="12305" width="0" style="18" hidden="1" customWidth="1"/>
    <col min="12306" max="12307" width="8.1796875" style="18" customWidth="1"/>
    <col min="12308" max="12308" width="8.7265625" style="18" customWidth="1"/>
    <col min="12309" max="12309" width="0" style="18" hidden="1" customWidth="1"/>
    <col min="12310" max="12544" width="9.1796875" style="18"/>
    <col min="12545" max="12545" width="5" style="18" customWidth="1"/>
    <col min="12546" max="12547" width="8.1796875" style="18" customWidth="1"/>
    <col min="12548" max="12549" width="0" style="18" hidden="1" customWidth="1"/>
    <col min="12550" max="12550" width="8.1796875" style="18" customWidth="1"/>
    <col min="12551" max="12557" width="0" style="18" hidden="1" customWidth="1"/>
    <col min="12558" max="12558" width="7.81640625" style="18" customWidth="1"/>
    <col min="12559" max="12559" width="0" style="18" hidden="1" customWidth="1"/>
    <col min="12560" max="12560" width="9.81640625" style="18" customWidth="1"/>
    <col min="12561" max="12561" width="0" style="18" hidden="1" customWidth="1"/>
    <col min="12562" max="12563" width="8.1796875" style="18" customWidth="1"/>
    <col min="12564" max="12564" width="8.7265625" style="18" customWidth="1"/>
    <col min="12565" max="12565" width="0" style="18" hidden="1" customWidth="1"/>
    <col min="12566" max="12800" width="9.1796875" style="18"/>
    <col min="12801" max="12801" width="5" style="18" customWidth="1"/>
    <col min="12802" max="12803" width="8.1796875" style="18" customWidth="1"/>
    <col min="12804" max="12805" width="0" style="18" hidden="1" customWidth="1"/>
    <col min="12806" max="12806" width="8.1796875" style="18" customWidth="1"/>
    <col min="12807" max="12813" width="0" style="18" hidden="1" customWidth="1"/>
    <col min="12814" max="12814" width="7.81640625" style="18" customWidth="1"/>
    <col min="12815" max="12815" width="0" style="18" hidden="1" customWidth="1"/>
    <col min="12816" max="12816" width="9.81640625" style="18" customWidth="1"/>
    <col min="12817" max="12817" width="0" style="18" hidden="1" customWidth="1"/>
    <col min="12818" max="12819" width="8.1796875" style="18" customWidth="1"/>
    <col min="12820" max="12820" width="8.7265625" style="18" customWidth="1"/>
    <col min="12821" max="12821" width="0" style="18" hidden="1" customWidth="1"/>
    <col min="12822" max="13056" width="9.1796875" style="18"/>
    <col min="13057" max="13057" width="5" style="18" customWidth="1"/>
    <col min="13058" max="13059" width="8.1796875" style="18" customWidth="1"/>
    <col min="13060" max="13061" width="0" style="18" hidden="1" customWidth="1"/>
    <col min="13062" max="13062" width="8.1796875" style="18" customWidth="1"/>
    <col min="13063" max="13069" width="0" style="18" hidden="1" customWidth="1"/>
    <col min="13070" max="13070" width="7.81640625" style="18" customWidth="1"/>
    <col min="13071" max="13071" width="0" style="18" hidden="1" customWidth="1"/>
    <col min="13072" max="13072" width="9.81640625" style="18" customWidth="1"/>
    <col min="13073" max="13073" width="0" style="18" hidden="1" customWidth="1"/>
    <col min="13074" max="13075" width="8.1796875" style="18" customWidth="1"/>
    <col min="13076" max="13076" width="8.7265625" style="18" customWidth="1"/>
    <col min="13077" max="13077" width="0" style="18" hidden="1" customWidth="1"/>
    <col min="13078" max="13312" width="9.1796875" style="18"/>
    <col min="13313" max="13313" width="5" style="18" customWidth="1"/>
    <col min="13314" max="13315" width="8.1796875" style="18" customWidth="1"/>
    <col min="13316" max="13317" width="0" style="18" hidden="1" customWidth="1"/>
    <col min="13318" max="13318" width="8.1796875" style="18" customWidth="1"/>
    <col min="13319" max="13325" width="0" style="18" hidden="1" customWidth="1"/>
    <col min="13326" max="13326" width="7.81640625" style="18" customWidth="1"/>
    <col min="13327" max="13327" width="0" style="18" hidden="1" customWidth="1"/>
    <col min="13328" max="13328" width="9.81640625" style="18" customWidth="1"/>
    <col min="13329" max="13329" width="0" style="18" hidden="1" customWidth="1"/>
    <col min="13330" max="13331" width="8.1796875" style="18" customWidth="1"/>
    <col min="13332" max="13332" width="8.7265625" style="18" customWidth="1"/>
    <col min="13333" max="13333" width="0" style="18" hidden="1" customWidth="1"/>
    <col min="13334" max="13568" width="9.1796875" style="18"/>
    <col min="13569" max="13569" width="5" style="18" customWidth="1"/>
    <col min="13570" max="13571" width="8.1796875" style="18" customWidth="1"/>
    <col min="13572" max="13573" width="0" style="18" hidden="1" customWidth="1"/>
    <col min="13574" max="13574" width="8.1796875" style="18" customWidth="1"/>
    <col min="13575" max="13581" width="0" style="18" hidden="1" customWidth="1"/>
    <col min="13582" max="13582" width="7.81640625" style="18" customWidth="1"/>
    <col min="13583" max="13583" width="0" style="18" hidden="1" customWidth="1"/>
    <col min="13584" max="13584" width="9.81640625" style="18" customWidth="1"/>
    <col min="13585" max="13585" width="0" style="18" hidden="1" customWidth="1"/>
    <col min="13586" max="13587" width="8.1796875" style="18" customWidth="1"/>
    <col min="13588" max="13588" width="8.7265625" style="18" customWidth="1"/>
    <col min="13589" max="13589" width="0" style="18" hidden="1" customWidth="1"/>
    <col min="13590" max="13824" width="9.1796875" style="18"/>
    <col min="13825" max="13825" width="5" style="18" customWidth="1"/>
    <col min="13826" max="13827" width="8.1796875" style="18" customWidth="1"/>
    <col min="13828" max="13829" width="0" style="18" hidden="1" customWidth="1"/>
    <col min="13830" max="13830" width="8.1796875" style="18" customWidth="1"/>
    <col min="13831" max="13837" width="0" style="18" hidden="1" customWidth="1"/>
    <col min="13838" max="13838" width="7.81640625" style="18" customWidth="1"/>
    <col min="13839" max="13839" width="0" style="18" hidden="1" customWidth="1"/>
    <col min="13840" max="13840" width="9.81640625" style="18" customWidth="1"/>
    <col min="13841" max="13841" width="0" style="18" hidden="1" customWidth="1"/>
    <col min="13842" max="13843" width="8.1796875" style="18" customWidth="1"/>
    <col min="13844" max="13844" width="8.7265625" style="18" customWidth="1"/>
    <col min="13845" max="13845" width="0" style="18" hidden="1" customWidth="1"/>
    <col min="13846" max="14080" width="9.1796875" style="18"/>
    <col min="14081" max="14081" width="5" style="18" customWidth="1"/>
    <col min="14082" max="14083" width="8.1796875" style="18" customWidth="1"/>
    <col min="14084" max="14085" width="0" style="18" hidden="1" customWidth="1"/>
    <col min="14086" max="14086" width="8.1796875" style="18" customWidth="1"/>
    <col min="14087" max="14093" width="0" style="18" hidden="1" customWidth="1"/>
    <col min="14094" max="14094" width="7.81640625" style="18" customWidth="1"/>
    <col min="14095" max="14095" width="0" style="18" hidden="1" customWidth="1"/>
    <col min="14096" max="14096" width="9.81640625" style="18" customWidth="1"/>
    <col min="14097" max="14097" width="0" style="18" hidden="1" customWidth="1"/>
    <col min="14098" max="14099" width="8.1796875" style="18" customWidth="1"/>
    <col min="14100" max="14100" width="8.7265625" style="18" customWidth="1"/>
    <col min="14101" max="14101" width="0" style="18" hidden="1" customWidth="1"/>
    <col min="14102" max="14336" width="9.1796875" style="18"/>
    <col min="14337" max="14337" width="5" style="18" customWidth="1"/>
    <col min="14338" max="14339" width="8.1796875" style="18" customWidth="1"/>
    <col min="14340" max="14341" width="0" style="18" hidden="1" customWidth="1"/>
    <col min="14342" max="14342" width="8.1796875" style="18" customWidth="1"/>
    <col min="14343" max="14349" width="0" style="18" hidden="1" customWidth="1"/>
    <col min="14350" max="14350" width="7.81640625" style="18" customWidth="1"/>
    <col min="14351" max="14351" width="0" style="18" hidden="1" customWidth="1"/>
    <col min="14352" max="14352" width="9.81640625" style="18" customWidth="1"/>
    <col min="14353" max="14353" width="0" style="18" hidden="1" customWidth="1"/>
    <col min="14354" max="14355" width="8.1796875" style="18" customWidth="1"/>
    <col min="14356" max="14356" width="8.7265625" style="18" customWidth="1"/>
    <col min="14357" max="14357" width="0" style="18" hidden="1" customWidth="1"/>
    <col min="14358" max="14592" width="9.1796875" style="18"/>
    <col min="14593" max="14593" width="5" style="18" customWidth="1"/>
    <col min="14594" max="14595" width="8.1796875" style="18" customWidth="1"/>
    <col min="14596" max="14597" width="0" style="18" hidden="1" customWidth="1"/>
    <col min="14598" max="14598" width="8.1796875" style="18" customWidth="1"/>
    <col min="14599" max="14605" width="0" style="18" hidden="1" customWidth="1"/>
    <col min="14606" max="14606" width="7.81640625" style="18" customWidth="1"/>
    <col min="14607" max="14607" width="0" style="18" hidden="1" customWidth="1"/>
    <col min="14608" max="14608" width="9.81640625" style="18" customWidth="1"/>
    <col min="14609" max="14609" width="0" style="18" hidden="1" customWidth="1"/>
    <col min="14610" max="14611" width="8.1796875" style="18" customWidth="1"/>
    <col min="14612" max="14612" width="8.7265625" style="18" customWidth="1"/>
    <col min="14613" max="14613" width="0" style="18" hidden="1" customWidth="1"/>
    <col min="14614" max="14848" width="9.1796875" style="18"/>
    <col min="14849" max="14849" width="5" style="18" customWidth="1"/>
    <col min="14850" max="14851" width="8.1796875" style="18" customWidth="1"/>
    <col min="14852" max="14853" width="0" style="18" hidden="1" customWidth="1"/>
    <col min="14854" max="14854" width="8.1796875" style="18" customWidth="1"/>
    <col min="14855" max="14861" width="0" style="18" hidden="1" customWidth="1"/>
    <col min="14862" max="14862" width="7.81640625" style="18" customWidth="1"/>
    <col min="14863" max="14863" width="0" style="18" hidden="1" customWidth="1"/>
    <col min="14864" max="14864" width="9.81640625" style="18" customWidth="1"/>
    <col min="14865" max="14865" width="0" style="18" hidden="1" customWidth="1"/>
    <col min="14866" max="14867" width="8.1796875" style="18" customWidth="1"/>
    <col min="14868" max="14868" width="8.7265625" style="18" customWidth="1"/>
    <col min="14869" max="14869" width="0" style="18" hidden="1" customWidth="1"/>
    <col min="14870" max="15104" width="9.1796875" style="18"/>
    <col min="15105" max="15105" width="5" style="18" customWidth="1"/>
    <col min="15106" max="15107" width="8.1796875" style="18" customWidth="1"/>
    <col min="15108" max="15109" width="0" style="18" hidden="1" customWidth="1"/>
    <col min="15110" max="15110" width="8.1796875" style="18" customWidth="1"/>
    <col min="15111" max="15117" width="0" style="18" hidden="1" customWidth="1"/>
    <col min="15118" max="15118" width="7.81640625" style="18" customWidth="1"/>
    <col min="15119" max="15119" width="0" style="18" hidden="1" customWidth="1"/>
    <col min="15120" max="15120" width="9.81640625" style="18" customWidth="1"/>
    <col min="15121" max="15121" width="0" style="18" hidden="1" customWidth="1"/>
    <col min="15122" max="15123" width="8.1796875" style="18" customWidth="1"/>
    <col min="15124" max="15124" width="8.7265625" style="18" customWidth="1"/>
    <col min="15125" max="15125" width="0" style="18" hidden="1" customWidth="1"/>
    <col min="15126" max="15360" width="9.1796875" style="18"/>
    <col min="15361" max="15361" width="5" style="18" customWidth="1"/>
    <col min="15362" max="15363" width="8.1796875" style="18" customWidth="1"/>
    <col min="15364" max="15365" width="0" style="18" hidden="1" customWidth="1"/>
    <col min="15366" max="15366" width="8.1796875" style="18" customWidth="1"/>
    <col min="15367" max="15373" width="0" style="18" hidden="1" customWidth="1"/>
    <col min="15374" max="15374" width="7.81640625" style="18" customWidth="1"/>
    <col min="15375" max="15375" width="0" style="18" hidden="1" customWidth="1"/>
    <col min="15376" max="15376" width="9.81640625" style="18" customWidth="1"/>
    <col min="15377" max="15377" width="0" style="18" hidden="1" customWidth="1"/>
    <col min="15378" max="15379" width="8.1796875" style="18" customWidth="1"/>
    <col min="15380" max="15380" width="8.7265625" style="18" customWidth="1"/>
    <col min="15381" max="15381" width="0" style="18" hidden="1" customWidth="1"/>
    <col min="15382" max="15616" width="9.1796875" style="18"/>
    <col min="15617" max="15617" width="5" style="18" customWidth="1"/>
    <col min="15618" max="15619" width="8.1796875" style="18" customWidth="1"/>
    <col min="15620" max="15621" width="0" style="18" hidden="1" customWidth="1"/>
    <col min="15622" max="15622" width="8.1796875" style="18" customWidth="1"/>
    <col min="15623" max="15629" width="0" style="18" hidden="1" customWidth="1"/>
    <col min="15630" max="15630" width="7.81640625" style="18" customWidth="1"/>
    <col min="15631" max="15631" width="0" style="18" hidden="1" customWidth="1"/>
    <col min="15632" max="15632" width="9.81640625" style="18" customWidth="1"/>
    <col min="15633" max="15633" width="0" style="18" hidden="1" customWidth="1"/>
    <col min="15634" max="15635" width="8.1796875" style="18" customWidth="1"/>
    <col min="15636" max="15636" width="8.7265625" style="18" customWidth="1"/>
    <col min="15637" max="15637" width="0" style="18" hidden="1" customWidth="1"/>
    <col min="15638" max="15872" width="9.1796875" style="18"/>
    <col min="15873" max="15873" width="5" style="18" customWidth="1"/>
    <col min="15874" max="15875" width="8.1796875" style="18" customWidth="1"/>
    <col min="15876" max="15877" width="0" style="18" hidden="1" customWidth="1"/>
    <col min="15878" max="15878" width="8.1796875" style="18" customWidth="1"/>
    <col min="15879" max="15885" width="0" style="18" hidden="1" customWidth="1"/>
    <col min="15886" max="15886" width="7.81640625" style="18" customWidth="1"/>
    <col min="15887" max="15887" width="0" style="18" hidden="1" customWidth="1"/>
    <col min="15888" max="15888" width="9.81640625" style="18" customWidth="1"/>
    <col min="15889" max="15889" width="0" style="18" hidden="1" customWidth="1"/>
    <col min="15890" max="15891" width="8.1796875" style="18" customWidth="1"/>
    <col min="15892" max="15892" width="8.7265625" style="18" customWidth="1"/>
    <col min="15893" max="15893" width="0" style="18" hidden="1" customWidth="1"/>
    <col min="15894" max="16128" width="9.1796875" style="18"/>
    <col min="16129" max="16129" width="5" style="18" customWidth="1"/>
    <col min="16130" max="16131" width="8.1796875" style="18" customWidth="1"/>
    <col min="16132" max="16133" width="0" style="18" hidden="1" customWidth="1"/>
    <col min="16134" max="16134" width="8.1796875" style="18" customWidth="1"/>
    <col min="16135" max="16141" width="0" style="18" hidden="1" customWidth="1"/>
    <col min="16142" max="16142" width="7.81640625" style="18" customWidth="1"/>
    <col min="16143" max="16143" width="0" style="18" hidden="1" customWidth="1"/>
    <col min="16144" max="16144" width="9.81640625" style="18" customWidth="1"/>
    <col min="16145" max="16145" width="0" style="18" hidden="1" customWidth="1"/>
    <col min="16146" max="16147" width="8.1796875" style="18" customWidth="1"/>
    <col min="16148" max="16148" width="8.7265625" style="18" customWidth="1"/>
    <col min="16149" max="16149" width="0" style="18" hidden="1" customWidth="1"/>
    <col min="16150" max="16384" width="9.1796875" style="18"/>
  </cols>
  <sheetData>
    <row r="1" spans="1:22" x14ac:dyDescent="0.2">
      <c r="A1" s="48"/>
      <c r="B1" s="373" t="s">
        <v>29</v>
      </c>
      <c r="C1" s="373"/>
      <c r="J1" s="43" t="s">
        <v>48</v>
      </c>
      <c r="K1" s="43" t="s">
        <v>47</v>
      </c>
      <c r="O1" s="19"/>
      <c r="P1" s="81">
        <v>3.0000000000000001E-3</v>
      </c>
      <c r="Q1" s="80"/>
      <c r="T1" s="43" t="s">
        <v>60</v>
      </c>
      <c r="V1" s="43" t="s">
        <v>337</v>
      </c>
    </row>
    <row r="2" spans="1:22" x14ac:dyDescent="0.2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148" t="s">
        <v>253</v>
      </c>
      <c r="Q2" s="67"/>
      <c r="R2" s="46" t="s">
        <v>39</v>
      </c>
      <c r="S2" s="46" t="s">
        <v>38</v>
      </c>
      <c r="T2" s="46" t="s">
        <v>58</v>
      </c>
      <c r="U2" s="67" t="s">
        <v>254</v>
      </c>
      <c r="V2" s="43">
        <v>0.01</v>
      </c>
    </row>
    <row r="3" spans="1:22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149">
        <v>-9.3472255918647406E-4</v>
      </c>
      <c r="G3" s="25"/>
      <c r="H3" s="26"/>
      <c r="I3" s="39"/>
      <c r="J3" s="32">
        <f>B_(A3,A5)</f>
        <v>0.49626867989791179</v>
      </c>
      <c r="K3" s="32">
        <f>A_(A3,A5,V2)</f>
        <v>1</v>
      </c>
      <c r="L3" s="51">
        <f>B5/B3*K3*EXP(-J3*F3)</f>
        <v>0.99874918587281447</v>
      </c>
      <c r="M3" s="63" t="s">
        <v>37</v>
      </c>
      <c r="N3" s="55"/>
      <c r="O3" s="61" t="s">
        <v>36</v>
      </c>
      <c r="Q3" s="21"/>
      <c r="R3" s="51"/>
      <c r="S3" s="150" t="s">
        <v>255</v>
      </c>
      <c r="T3" s="151">
        <f>T16*1000000</f>
        <v>-3.430415673744136E-10</v>
      </c>
      <c r="U3" s="79"/>
      <c r="V3" s="37"/>
    </row>
    <row r="4" spans="1:22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>$F$3</f>
        <v>-9.3472255918647406E-4</v>
      </c>
      <c r="G4" s="38"/>
      <c r="H4" s="26"/>
      <c r="I4" s="39"/>
      <c r="J4" s="60" t="s">
        <v>35</v>
      </c>
      <c r="K4" s="60" t="s">
        <v>34</v>
      </c>
      <c r="L4" s="51"/>
      <c r="M4" s="59"/>
      <c r="N4" s="152" t="s">
        <v>256</v>
      </c>
      <c r="O4" s="58"/>
      <c r="P4" s="49"/>
      <c r="Q4" s="21"/>
      <c r="R4" s="51"/>
      <c r="S4" s="51"/>
      <c r="T4" s="32"/>
      <c r="U4" s="79"/>
      <c r="V4" s="37"/>
    </row>
    <row r="5" spans="1:22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ref="F5:F15" si="1">$F$3</f>
        <v>-9.3472255918647406E-4</v>
      </c>
      <c r="G5" s="38"/>
      <c r="H5" s="26"/>
      <c r="I5" s="25"/>
      <c r="J5" s="32">
        <f>B_(A5,A7)</f>
        <v>0.49626867989791179</v>
      </c>
      <c r="K5" s="32">
        <f>A_(A5,A7,V2)</f>
        <v>0.99998782333126668</v>
      </c>
      <c r="L5" s="51">
        <f>B7/B5*K5*EXP(-J5*F5)</f>
        <v>0.9987741670459257</v>
      </c>
      <c r="M5" s="63" t="s">
        <v>33</v>
      </c>
      <c r="N5" s="152" t="s">
        <v>257</v>
      </c>
      <c r="O5" s="61" t="s">
        <v>32</v>
      </c>
      <c r="P5" s="52"/>
      <c r="Q5" s="75"/>
      <c r="R5" s="51"/>
      <c r="S5" s="51"/>
      <c r="T5" s="32"/>
      <c r="U5" s="79"/>
      <c r="V5" s="37"/>
    </row>
    <row r="6" spans="1:22" ht="12" customHeight="1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-9.3472255918647406E-4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R6" s="153"/>
      <c r="S6" s="153"/>
      <c r="T6" s="32"/>
      <c r="U6" s="79"/>
      <c r="V6" s="37"/>
    </row>
    <row r="7" spans="1:22" ht="12" customHeight="1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-9.3472255918647406E-4</v>
      </c>
      <c r="G7" s="30"/>
      <c r="H7" s="26"/>
      <c r="I7" s="30"/>
      <c r="J7" s="32">
        <f>B_(A7,A9)</f>
        <v>0.49626867989791179</v>
      </c>
      <c r="K7" s="32">
        <f>A_(A7,A9,V2)</f>
        <v>0.99996396677176336</v>
      </c>
      <c r="L7" s="51">
        <f>B9/B7*K7*EXP(-J7*F7)</f>
        <v>0.99867725358177795</v>
      </c>
      <c r="M7" s="30" t="s">
        <v>13</v>
      </c>
      <c r="N7" s="55">
        <f>(1/L7-1)*360/182.5</f>
        <v>2.6127091602313455E-3</v>
      </c>
      <c r="O7" s="30" t="s">
        <v>13</v>
      </c>
      <c r="P7" s="376"/>
      <c r="Q7" s="376"/>
      <c r="R7" s="376"/>
      <c r="S7" s="376"/>
      <c r="T7" s="32"/>
      <c r="U7" s="79"/>
      <c r="V7" s="37"/>
    </row>
    <row r="8" spans="1:22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-9.3472255918647406E-4</v>
      </c>
      <c r="G8" s="35"/>
      <c r="H8" s="26"/>
      <c r="I8" s="25"/>
      <c r="L8" s="51"/>
      <c r="M8" s="51"/>
      <c r="N8" s="55"/>
      <c r="O8" s="58"/>
      <c r="Q8" s="153"/>
      <c r="U8" s="19"/>
    </row>
    <row r="9" spans="1:22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-9.3472255918647406E-4</v>
      </c>
      <c r="G9" s="35"/>
      <c r="H9" s="26"/>
      <c r="I9" s="25"/>
      <c r="J9" s="32">
        <f>B_(A9,A11)</f>
        <v>0.49626867989791179</v>
      </c>
      <c r="K9" s="32">
        <f>A_(A9,A11,V2)</f>
        <v>0.99992895558403017</v>
      </c>
      <c r="L9" s="51">
        <f>B11/B9*K9*EXP(-J9*F9)</f>
        <v>0.99871966289327785</v>
      </c>
      <c r="M9" s="51"/>
      <c r="N9" s="55">
        <f>(1/L9-1)*360/182.5</f>
        <v>2.5288342448132463E-3</v>
      </c>
      <c r="O9" s="54"/>
      <c r="P9" s="154">
        <f>N7*182.5/360-$P$1/2</f>
        <v>-1.7550160627160974E-4</v>
      </c>
      <c r="Q9" s="155"/>
      <c r="R9" s="51">
        <f>B_(A9,$A$15)</f>
        <v>1.4667506055633348</v>
      </c>
      <c r="S9" s="51">
        <f>A_(A9,$A$15,V2)</f>
        <v>0.99968796947748795</v>
      </c>
      <c r="T9" s="32">
        <f>P9*B9/S9*EXP(R9*F9)</f>
        <v>-1.7441614047759464E-4</v>
      </c>
      <c r="U9" s="70" t="s">
        <v>55</v>
      </c>
    </row>
    <row r="10" spans="1:22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-9.3472255918647406E-4</v>
      </c>
      <c r="G10" s="27"/>
      <c r="H10" s="26"/>
      <c r="I10" s="25"/>
      <c r="L10" s="51"/>
      <c r="M10" s="51"/>
      <c r="N10" s="57"/>
      <c r="O10" s="56"/>
      <c r="P10" s="76"/>
      <c r="Q10" s="19"/>
      <c r="R10" s="70"/>
      <c r="S10" s="70"/>
      <c r="U10" s="19"/>
    </row>
    <row r="11" spans="1:22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-9.3472255918647406E-4</v>
      </c>
      <c r="G11" s="27"/>
      <c r="H11" s="26"/>
      <c r="I11" s="25"/>
      <c r="J11" s="32">
        <f>B_(A11,A13)</f>
        <v>0.49626867989791179</v>
      </c>
      <c r="K11" s="32">
        <f>A_(A11,A13,V2)</f>
        <v>0.99988329717551372</v>
      </c>
      <c r="L11" s="51">
        <f>B13/B11*K11*EXP(-J11*F11)</f>
        <v>0.99835600537905145</v>
      </c>
      <c r="M11" s="51"/>
      <c r="N11" s="55">
        <f>(1/L11-1)*360/182.5</f>
        <v>3.2482884621371053E-3</v>
      </c>
      <c r="O11" s="54"/>
      <c r="P11" s="154">
        <f>N9*182.5/360-$P$1/2</f>
        <v>-2.1802152867106276E-4</v>
      </c>
      <c r="R11" s="51">
        <f>B_(A11,$A$15)</f>
        <v>0.98514888171639492</v>
      </c>
      <c r="S11" s="51">
        <f>A_(A11,$A$15,V2)</f>
        <v>0.9997229722274118</v>
      </c>
      <c r="T11" s="32">
        <f>P11*B11/S11*EXP(R11*F11)</f>
        <v>-2.1640049633789925E-4</v>
      </c>
      <c r="U11" s="70" t="s">
        <v>51</v>
      </c>
    </row>
    <row r="12" spans="1:22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-9.3472255918647406E-4</v>
      </c>
      <c r="G12" s="27"/>
      <c r="H12" s="26"/>
      <c r="I12" s="25"/>
      <c r="L12" s="51"/>
      <c r="M12" s="51"/>
      <c r="P12" s="75"/>
      <c r="Q12" s="19"/>
      <c r="U12" s="19"/>
    </row>
    <row r="13" spans="1:22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-9.3472255918647406E-4</v>
      </c>
      <c r="G13" s="27"/>
      <c r="H13" s="26"/>
      <c r="I13" s="25"/>
      <c r="J13" s="32">
        <f>B_(A13,A15)</f>
        <v>0.49626867989791179</v>
      </c>
      <c r="K13" s="32">
        <f>A_(A13,A15,V2)</f>
        <v>0.99982748162305835</v>
      </c>
      <c r="L13" s="51">
        <f>B15/B13*K13*EXP(-J13*F13)</f>
        <v>0.99825492889459078</v>
      </c>
      <c r="M13" s="51"/>
      <c r="N13" s="55">
        <f>(1/L13-1)*360/182.5</f>
        <v>3.4483496588980753E-3</v>
      </c>
      <c r="O13" s="54"/>
      <c r="P13" s="154">
        <f>N11*182.5/360-$P$1/2</f>
        <v>1.4670178983339352E-4</v>
      </c>
      <c r="Q13" s="30"/>
      <c r="R13" s="51">
        <f>B_(A13,$A$15)</f>
        <v>0.49626867989791179</v>
      </c>
      <c r="S13" s="51">
        <f>A_(A13,$A$15,V2)</f>
        <v>0.99982748162305835</v>
      </c>
      <c r="T13" s="32">
        <f>P13*B13/S13*EXP(R13*F13)</f>
        <v>1.4537241602202494E-4</v>
      </c>
      <c r="U13" s="30" t="s">
        <v>13</v>
      </c>
    </row>
    <row r="14" spans="1:22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-9.3472255918647406E-4</v>
      </c>
      <c r="G14" s="27"/>
      <c r="H14" s="26"/>
      <c r="I14" s="25"/>
      <c r="Q14" s="19"/>
    </row>
    <row r="15" spans="1:22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-9.3472255918647406E-4</v>
      </c>
      <c r="G15" s="27"/>
      <c r="H15" s="26"/>
      <c r="I15" s="25"/>
      <c r="P15" s="154">
        <f>N13*182.5/360-$P$1/2</f>
        <v>2.4812170208027414E-4</v>
      </c>
      <c r="Q15" s="75"/>
      <c r="R15" s="74">
        <f>B_(A15,$A$15)</f>
        <v>0</v>
      </c>
      <c r="S15" s="51">
        <f>A_(A15,$A$15,V2)</f>
        <v>1</v>
      </c>
      <c r="T15" s="32">
        <f>P15*B15/S15*EXP(R15*F15)</f>
        <v>2.4544422079312591E-4</v>
      </c>
    </row>
    <row r="16" spans="1:22" ht="12.5" thickBot="1" x14ac:dyDescent="0.25">
      <c r="A16" s="36">
        <v>3.25</v>
      </c>
      <c r="B16" s="32">
        <v>0.98801300000000003</v>
      </c>
      <c r="C16" s="43"/>
      <c r="E16" s="21"/>
      <c r="R16" s="73"/>
      <c r="S16" s="72" t="s">
        <v>50</v>
      </c>
      <c r="T16" s="71">
        <f>SUM(T9:T15)</f>
        <v>-3.430415673744136E-16</v>
      </c>
      <c r="U16" s="70" t="s">
        <v>49</v>
      </c>
    </row>
    <row r="17" ht="12.5" thickTop="1" x14ac:dyDescent="0.2"/>
  </sheetData>
  <mergeCells count="2">
    <mergeCell ref="B1:C1"/>
    <mergeCell ref="P7:S7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AE17"/>
  <sheetViews>
    <sheetView workbookViewId="0"/>
  </sheetViews>
  <sheetFormatPr defaultRowHeight="12" x14ac:dyDescent="0.2"/>
  <cols>
    <col min="1" max="1" width="5" style="18" customWidth="1"/>
    <col min="2" max="3" width="8.1796875" style="18" customWidth="1"/>
    <col min="4" max="4" width="1.7265625" style="20" hidden="1" customWidth="1"/>
    <col min="5" max="5" width="9.26953125" style="18" hidden="1" customWidth="1"/>
    <col min="6" max="6" width="8.1796875" style="43" customWidth="1"/>
    <col min="7" max="7" width="1.7265625" style="19" hidden="1" customWidth="1"/>
    <col min="8" max="8" width="1.7265625" style="18" hidden="1" customWidth="1"/>
    <col min="9" max="9" width="1.7265625" style="19" hidden="1" customWidth="1"/>
    <col min="10" max="11" width="10" style="43" hidden="1" customWidth="1"/>
    <col min="12" max="12" width="8.54296875" style="18" hidden="1" customWidth="1"/>
    <col min="13" max="13" width="19" style="18" hidden="1" customWidth="1"/>
    <col min="14" max="14" width="7.81640625" style="49" hidden="1" customWidth="1"/>
    <col min="15" max="15" width="16" style="18" hidden="1" customWidth="1"/>
    <col min="16" max="16" width="9.81640625" style="18" hidden="1" customWidth="1"/>
    <col min="17" max="17" width="8.54296875" style="18" hidden="1" customWidth="1"/>
    <col min="18" max="19" width="8.1796875" style="18" hidden="1" customWidth="1"/>
    <col min="20" max="20" width="8.7265625" style="43" hidden="1" customWidth="1"/>
    <col min="21" max="21" width="22.81640625" style="18" hidden="1" customWidth="1"/>
    <col min="22" max="22" width="11" style="18" customWidth="1"/>
    <col min="23" max="23" width="10.26953125" style="18" customWidth="1"/>
    <col min="24" max="24" width="24.1796875" style="18" customWidth="1"/>
    <col min="25" max="31" width="9.453125" style="18" customWidth="1"/>
    <col min="32" max="256" width="9.1796875" style="18"/>
    <col min="257" max="257" width="5" style="18" customWidth="1"/>
    <col min="258" max="259" width="8.1796875" style="18" customWidth="1"/>
    <col min="260" max="261" width="0" style="18" hidden="1" customWidth="1"/>
    <col min="262" max="262" width="8.1796875" style="18" customWidth="1"/>
    <col min="263" max="277" width="0" style="18" hidden="1" customWidth="1"/>
    <col min="278" max="278" width="11" style="18" customWidth="1"/>
    <col min="279" max="279" width="10.26953125" style="18" customWidth="1"/>
    <col min="280" max="280" width="24.1796875" style="18" customWidth="1"/>
    <col min="281" max="287" width="9.453125" style="18" customWidth="1"/>
    <col min="288" max="512" width="9.1796875" style="18"/>
    <col min="513" max="513" width="5" style="18" customWidth="1"/>
    <col min="514" max="515" width="8.1796875" style="18" customWidth="1"/>
    <col min="516" max="517" width="0" style="18" hidden="1" customWidth="1"/>
    <col min="518" max="518" width="8.1796875" style="18" customWidth="1"/>
    <col min="519" max="533" width="0" style="18" hidden="1" customWidth="1"/>
    <col min="534" max="534" width="11" style="18" customWidth="1"/>
    <col min="535" max="535" width="10.26953125" style="18" customWidth="1"/>
    <col min="536" max="536" width="24.1796875" style="18" customWidth="1"/>
    <col min="537" max="543" width="9.453125" style="18" customWidth="1"/>
    <col min="544" max="768" width="9.1796875" style="18"/>
    <col min="769" max="769" width="5" style="18" customWidth="1"/>
    <col min="770" max="771" width="8.1796875" style="18" customWidth="1"/>
    <col min="772" max="773" width="0" style="18" hidden="1" customWidth="1"/>
    <col min="774" max="774" width="8.1796875" style="18" customWidth="1"/>
    <col min="775" max="789" width="0" style="18" hidden="1" customWidth="1"/>
    <col min="790" max="790" width="11" style="18" customWidth="1"/>
    <col min="791" max="791" width="10.26953125" style="18" customWidth="1"/>
    <col min="792" max="792" width="24.1796875" style="18" customWidth="1"/>
    <col min="793" max="799" width="9.453125" style="18" customWidth="1"/>
    <col min="800" max="1024" width="9.1796875" style="18"/>
    <col min="1025" max="1025" width="5" style="18" customWidth="1"/>
    <col min="1026" max="1027" width="8.1796875" style="18" customWidth="1"/>
    <col min="1028" max="1029" width="0" style="18" hidden="1" customWidth="1"/>
    <col min="1030" max="1030" width="8.1796875" style="18" customWidth="1"/>
    <col min="1031" max="1045" width="0" style="18" hidden="1" customWidth="1"/>
    <col min="1046" max="1046" width="11" style="18" customWidth="1"/>
    <col min="1047" max="1047" width="10.26953125" style="18" customWidth="1"/>
    <col min="1048" max="1048" width="24.1796875" style="18" customWidth="1"/>
    <col min="1049" max="1055" width="9.453125" style="18" customWidth="1"/>
    <col min="1056" max="1280" width="9.1796875" style="18"/>
    <col min="1281" max="1281" width="5" style="18" customWidth="1"/>
    <col min="1282" max="1283" width="8.1796875" style="18" customWidth="1"/>
    <col min="1284" max="1285" width="0" style="18" hidden="1" customWidth="1"/>
    <col min="1286" max="1286" width="8.1796875" style="18" customWidth="1"/>
    <col min="1287" max="1301" width="0" style="18" hidden="1" customWidth="1"/>
    <col min="1302" max="1302" width="11" style="18" customWidth="1"/>
    <col min="1303" max="1303" width="10.26953125" style="18" customWidth="1"/>
    <col min="1304" max="1304" width="24.1796875" style="18" customWidth="1"/>
    <col min="1305" max="1311" width="9.453125" style="18" customWidth="1"/>
    <col min="1312" max="1536" width="9.1796875" style="18"/>
    <col min="1537" max="1537" width="5" style="18" customWidth="1"/>
    <col min="1538" max="1539" width="8.1796875" style="18" customWidth="1"/>
    <col min="1540" max="1541" width="0" style="18" hidden="1" customWidth="1"/>
    <col min="1542" max="1542" width="8.1796875" style="18" customWidth="1"/>
    <col min="1543" max="1557" width="0" style="18" hidden="1" customWidth="1"/>
    <col min="1558" max="1558" width="11" style="18" customWidth="1"/>
    <col min="1559" max="1559" width="10.26953125" style="18" customWidth="1"/>
    <col min="1560" max="1560" width="24.1796875" style="18" customWidth="1"/>
    <col min="1561" max="1567" width="9.453125" style="18" customWidth="1"/>
    <col min="1568" max="1792" width="9.1796875" style="18"/>
    <col min="1793" max="1793" width="5" style="18" customWidth="1"/>
    <col min="1794" max="1795" width="8.1796875" style="18" customWidth="1"/>
    <col min="1796" max="1797" width="0" style="18" hidden="1" customWidth="1"/>
    <col min="1798" max="1798" width="8.1796875" style="18" customWidth="1"/>
    <col min="1799" max="1813" width="0" style="18" hidden="1" customWidth="1"/>
    <col min="1814" max="1814" width="11" style="18" customWidth="1"/>
    <col min="1815" max="1815" width="10.26953125" style="18" customWidth="1"/>
    <col min="1816" max="1816" width="24.1796875" style="18" customWidth="1"/>
    <col min="1817" max="1823" width="9.453125" style="18" customWidth="1"/>
    <col min="1824" max="2048" width="9.1796875" style="18"/>
    <col min="2049" max="2049" width="5" style="18" customWidth="1"/>
    <col min="2050" max="2051" width="8.1796875" style="18" customWidth="1"/>
    <col min="2052" max="2053" width="0" style="18" hidden="1" customWidth="1"/>
    <col min="2054" max="2054" width="8.1796875" style="18" customWidth="1"/>
    <col min="2055" max="2069" width="0" style="18" hidden="1" customWidth="1"/>
    <col min="2070" max="2070" width="11" style="18" customWidth="1"/>
    <col min="2071" max="2071" width="10.26953125" style="18" customWidth="1"/>
    <col min="2072" max="2072" width="24.1796875" style="18" customWidth="1"/>
    <col min="2073" max="2079" width="9.453125" style="18" customWidth="1"/>
    <col min="2080" max="2304" width="9.1796875" style="18"/>
    <col min="2305" max="2305" width="5" style="18" customWidth="1"/>
    <col min="2306" max="2307" width="8.1796875" style="18" customWidth="1"/>
    <col min="2308" max="2309" width="0" style="18" hidden="1" customWidth="1"/>
    <col min="2310" max="2310" width="8.1796875" style="18" customWidth="1"/>
    <col min="2311" max="2325" width="0" style="18" hidden="1" customWidth="1"/>
    <col min="2326" max="2326" width="11" style="18" customWidth="1"/>
    <col min="2327" max="2327" width="10.26953125" style="18" customWidth="1"/>
    <col min="2328" max="2328" width="24.1796875" style="18" customWidth="1"/>
    <col min="2329" max="2335" width="9.453125" style="18" customWidth="1"/>
    <col min="2336" max="2560" width="9.1796875" style="18"/>
    <col min="2561" max="2561" width="5" style="18" customWidth="1"/>
    <col min="2562" max="2563" width="8.1796875" style="18" customWidth="1"/>
    <col min="2564" max="2565" width="0" style="18" hidden="1" customWidth="1"/>
    <col min="2566" max="2566" width="8.1796875" style="18" customWidth="1"/>
    <col min="2567" max="2581" width="0" style="18" hidden="1" customWidth="1"/>
    <col min="2582" max="2582" width="11" style="18" customWidth="1"/>
    <col min="2583" max="2583" width="10.26953125" style="18" customWidth="1"/>
    <col min="2584" max="2584" width="24.1796875" style="18" customWidth="1"/>
    <col min="2585" max="2591" width="9.453125" style="18" customWidth="1"/>
    <col min="2592" max="2816" width="9.1796875" style="18"/>
    <col min="2817" max="2817" width="5" style="18" customWidth="1"/>
    <col min="2818" max="2819" width="8.1796875" style="18" customWidth="1"/>
    <col min="2820" max="2821" width="0" style="18" hidden="1" customWidth="1"/>
    <col min="2822" max="2822" width="8.1796875" style="18" customWidth="1"/>
    <col min="2823" max="2837" width="0" style="18" hidden="1" customWidth="1"/>
    <col min="2838" max="2838" width="11" style="18" customWidth="1"/>
    <col min="2839" max="2839" width="10.26953125" style="18" customWidth="1"/>
    <col min="2840" max="2840" width="24.1796875" style="18" customWidth="1"/>
    <col min="2841" max="2847" width="9.453125" style="18" customWidth="1"/>
    <col min="2848" max="3072" width="9.1796875" style="18"/>
    <col min="3073" max="3073" width="5" style="18" customWidth="1"/>
    <col min="3074" max="3075" width="8.1796875" style="18" customWidth="1"/>
    <col min="3076" max="3077" width="0" style="18" hidden="1" customWidth="1"/>
    <col min="3078" max="3078" width="8.1796875" style="18" customWidth="1"/>
    <col min="3079" max="3093" width="0" style="18" hidden="1" customWidth="1"/>
    <col min="3094" max="3094" width="11" style="18" customWidth="1"/>
    <col min="3095" max="3095" width="10.26953125" style="18" customWidth="1"/>
    <col min="3096" max="3096" width="24.1796875" style="18" customWidth="1"/>
    <col min="3097" max="3103" width="9.453125" style="18" customWidth="1"/>
    <col min="3104" max="3328" width="9.1796875" style="18"/>
    <col min="3329" max="3329" width="5" style="18" customWidth="1"/>
    <col min="3330" max="3331" width="8.1796875" style="18" customWidth="1"/>
    <col min="3332" max="3333" width="0" style="18" hidden="1" customWidth="1"/>
    <col min="3334" max="3334" width="8.1796875" style="18" customWidth="1"/>
    <col min="3335" max="3349" width="0" style="18" hidden="1" customWidth="1"/>
    <col min="3350" max="3350" width="11" style="18" customWidth="1"/>
    <col min="3351" max="3351" width="10.26953125" style="18" customWidth="1"/>
    <col min="3352" max="3352" width="24.1796875" style="18" customWidth="1"/>
    <col min="3353" max="3359" width="9.453125" style="18" customWidth="1"/>
    <col min="3360" max="3584" width="9.1796875" style="18"/>
    <col min="3585" max="3585" width="5" style="18" customWidth="1"/>
    <col min="3586" max="3587" width="8.1796875" style="18" customWidth="1"/>
    <col min="3588" max="3589" width="0" style="18" hidden="1" customWidth="1"/>
    <col min="3590" max="3590" width="8.1796875" style="18" customWidth="1"/>
    <col min="3591" max="3605" width="0" style="18" hidden="1" customWidth="1"/>
    <col min="3606" max="3606" width="11" style="18" customWidth="1"/>
    <col min="3607" max="3607" width="10.26953125" style="18" customWidth="1"/>
    <col min="3608" max="3608" width="24.1796875" style="18" customWidth="1"/>
    <col min="3609" max="3615" width="9.453125" style="18" customWidth="1"/>
    <col min="3616" max="3840" width="9.1796875" style="18"/>
    <col min="3841" max="3841" width="5" style="18" customWidth="1"/>
    <col min="3842" max="3843" width="8.1796875" style="18" customWidth="1"/>
    <col min="3844" max="3845" width="0" style="18" hidden="1" customWidth="1"/>
    <col min="3846" max="3846" width="8.1796875" style="18" customWidth="1"/>
    <col min="3847" max="3861" width="0" style="18" hidden="1" customWidth="1"/>
    <col min="3862" max="3862" width="11" style="18" customWidth="1"/>
    <col min="3863" max="3863" width="10.26953125" style="18" customWidth="1"/>
    <col min="3864" max="3864" width="24.1796875" style="18" customWidth="1"/>
    <col min="3865" max="3871" width="9.453125" style="18" customWidth="1"/>
    <col min="3872" max="4096" width="9.1796875" style="18"/>
    <col min="4097" max="4097" width="5" style="18" customWidth="1"/>
    <col min="4098" max="4099" width="8.1796875" style="18" customWidth="1"/>
    <col min="4100" max="4101" width="0" style="18" hidden="1" customWidth="1"/>
    <col min="4102" max="4102" width="8.1796875" style="18" customWidth="1"/>
    <col min="4103" max="4117" width="0" style="18" hidden="1" customWidth="1"/>
    <col min="4118" max="4118" width="11" style="18" customWidth="1"/>
    <col min="4119" max="4119" width="10.26953125" style="18" customWidth="1"/>
    <col min="4120" max="4120" width="24.1796875" style="18" customWidth="1"/>
    <col min="4121" max="4127" width="9.453125" style="18" customWidth="1"/>
    <col min="4128" max="4352" width="9.1796875" style="18"/>
    <col min="4353" max="4353" width="5" style="18" customWidth="1"/>
    <col min="4354" max="4355" width="8.1796875" style="18" customWidth="1"/>
    <col min="4356" max="4357" width="0" style="18" hidden="1" customWidth="1"/>
    <col min="4358" max="4358" width="8.1796875" style="18" customWidth="1"/>
    <col min="4359" max="4373" width="0" style="18" hidden="1" customWidth="1"/>
    <col min="4374" max="4374" width="11" style="18" customWidth="1"/>
    <col min="4375" max="4375" width="10.26953125" style="18" customWidth="1"/>
    <col min="4376" max="4376" width="24.1796875" style="18" customWidth="1"/>
    <col min="4377" max="4383" width="9.453125" style="18" customWidth="1"/>
    <col min="4384" max="4608" width="9.1796875" style="18"/>
    <col min="4609" max="4609" width="5" style="18" customWidth="1"/>
    <col min="4610" max="4611" width="8.1796875" style="18" customWidth="1"/>
    <col min="4612" max="4613" width="0" style="18" hidden="1" customWidth="1"/>
    <col min="4614" max="4614" width="8.1796875" style="18" customWidth="1"/>
    <col min="4615" max="4629" width="0" style="18" hidden="1" customWidth="1"/>
    <col min="4630" max="4630" width="11" style="18" customWidth="1"/>
    <col min="4631" max="4631" width="10.26953125" style="18" customWidth="1"/>
    <col min="4632" max="4632" width="24.1796875" style="18" customWidth="1"/>
    <col min="4633" max="4639" width="9.453125" style="18" customWidth="1"/>
    <col min="4640" max="4864" width="9.1796875" style="18"/>
    <col min="4865" max="4865" width="5" style="18" customWidth="1"/>
    <col min="4866" max="4867" width="8.1796875" style="18" customWidth="1"/>
    <col min="4868" max="4869" width="0" style="18" hidden="1" customWidth="1"/>
    <col min="4870" max="4870" width="8.1796875" style="18" customWidth="1"/>
    <col min="4871" max="4885" width="0" style="18" hidden="1" customWidth="1"/>
    <col min="4886" max="4886" width="11" style="18" customWidth="1"/>
    <col min="4887" max="4887" width="10.26953125" style="18" customWidth="1"/>
    <col min="4888" max="4888" width="24.1796875" style="18" customWidth="1"/>
    <col min="4889" max="4895" width="9.453125" style="18" customWidth="1"/>
    <col min="4896" max="5120" width="9.1796875" style="18"/>
    <col min="5121" max="5121" width="5" style="18" customWidth="1"/>
    <col min="5122" max="5123" width="8.1796875" style="18" customWidth="1"/>
    <col min="5124" max="5125" width="0" style="18" hidden="1" customWidth="1"/>
    <col min="5126" max="5126" width="8.1796875" style="18" customWidth="1"/>
    <col min="5127" max="5141" width="0" style="18" hidden="1" customWidth="1"/>
    <col min="5142" max="5142" width="11" style="18" customWidth="1"/>
    <col min="5143" max="5143" width="10.26953125" style="18" customWidth="1"/>
    <col min="5144" max="5144" width="24.1796875" style="18" customWidth="1"/>
    <col min="5145" max="5151" width="9.453125" style="18" customWidth="1"/>
    <col min="5152" max="5376" width="9.1796875" style="18"/>
    <col min="5377" max="5377" width="5" style="18" customWidth="1"/>
    <col min="5378" max="5379" width="8.1796875" style="18" customWidth="1"/>
    <col min="5380" max="5381" width="0" style="18" hidden="1" customWidth="1"/>
    <col min="5382" max="5382" width="8.1796875" style="18" customWidth="1"/>
    <col min="5383" max="5397" width="0" style="18" hidden="1" customWidth="1"/>
    <col min="5398" max="5398" width="11" style="18" customWidth="1"/>
    <col min="5399" max="5399" width="10.26953125" style="18" customWidth="1"/>
    <col min="5400" max="5400" width="24.1796875" style="18" customWidth="1"/>
    <col min="5401" max="5407" width="9.453125" style="18" customWidth="1"/>
    <col min="5408" max="5632" width="9.1796875" style="18"/>
    <col min="5633" max="5633" width="5" style="18" customWidth="1"/>
    <col min="5634" max="5635" width="8.1796875" style="18" customWidth="1"/>
    <col min="5636" max="5637" width="0" style="18" hidden="1" customWidth="1"/>
    <col min="5638" max="5638" width="8.1796875" style="18" customWidth="1"/>
    <col min="5639" max="5653" width="0" style="18" hidden="1" customWidth="1"/>
    <col min="5654" max="5654" width="11" style="18" customWidth="1"/>
    <col min="5655" max="5655" width="10.26953125" style="18" customWidth="1"/>
    <col min="5656" max="5656" width="24.1796875" style="18" customWidth="1"/>
    <col min="5657" max="5663" width="9.453125" style="18" customWidth="1"/>
    <col min="5664" max="5888" width="9.1796875" style="18"/>
    <col min="5889" max="5889" width="5" style="18" customWidth="1"/>
    <col min="5890" max="5891" width="8.1796875" style="18" customWidth="1"/>
    <col min="5892" max="5893" width="0" style="18" hidden="1" customWidth="1"/>
    <col min="5894" max="5894" width="8.1796875" style="18" customWidth="1"/>
    <col min="5895" max="5909" width="0" style="18" hidden="1" customWidth="1"/>
    <col min="5910" max="5910" width="11" style="18" customWidth="1"/>
    <col min="5911" max="5911" width="10.26953125" style="18" customWidth="1"/>
    <col min="5912" max="5912" width="24.1796875" style="18" customWidth="1"/>
    <col min="5913" max="5919" width="9.453125" style="18" customWidth="1"/>
    <col min="5920" max="6144" width="9.1796875" style="18"/>
    <col min="6145" max="6145" width="5" style="18" customWidth="1"/>
    <col min="6146" max="6147" width="8.1796875" style="18" customWidth="1"/>
    <col min="6148" max="6149" width="0" style="18" hidden="1" customWidth="1"/>
    <col min="6150" max="6150" width="8.1796875" style="18" customWidth="1"/>
    <col min="6151" max="6165" width="0" style="18" hidden="1" customWidth="1"/>
    <col min="6166" max="6166" width="11" style="18" customWidth="1"/>
    <col min="6167" max="6167" width="10.26953125" style="18" customWidth="1"/>
    <col min="6168" max="6168" width="24.1796875" style="18" customWidth="1"/>
    <col min="6169" max="6175" width="9.453125" style="18" customWidth="1"/>
    <col min="6176" max="6400" width="9.1796875" style="18"/>
    <col min="6401" max="6401" width="5" style="18" customWidth="1"/>
    <col min="6402" max="6403" width="8.1796875" style="18" customWidth="1"/>
    <col min="6404" max="6405" width="0" style="18" hidden="1" customWidth="1"/>
    <col min="6406" max="6406" width="8.1796875" style="18" customWidth="1"/>
    <col min="6407" max="6421" width="0" style="18" hidden="1" customWidth="1"/>
    <col min="6422" max="6422" width="11" style="18" customWidth="1"/>
    <col min="6423" max="6423" width="10.26953125" style="18" customWidth="1"/>
    <col min="6424" max="6424" width="24.1796875" style="18" customWidth="1"/>
    <col min="6425" max="6431" width="9.453125" style="18" customWidth="1"/>
    <col min="6432" max="6656" width="9.1796875" style="18"/>
    <col min="6657" max="6657" width="5" style="18" customWidth="1"/>
    <col min="6658" max="6659" width="8.1796875" style="18" customWidth="1"/>
    <col min="6660" max="6661" width="0" style="18" hidden="1" customWidth="1"/>
    <col min="6662" max="6662" width="8.1796875" style="18" customWidth="1"/>
    <col min="6663" max="6677" width="0" style="18" hidden="1" customWidth="1"/>
    <col min="6678" max="6678" width="11" style="18" customWidth="1"/>
    <col min="6679" max="6679" width="10.26953125" style="18" customWidth="1"/>
    <col min="6680" max="6680" width="24.1796875" style="18" customWidth="1"/>
    <col min="6681" max="6687" width="9.453125" style="18" customWidth="1"/>
    <col min="6688" max="6912" width="9.1796875" style="18"/>
    <col min="6913" max="6913" width="5" style="18" customWidth="1"/>
    <col min="6914" max="6915" width="8.1796875" style="18" customWidth="1"/>
    <col min="6916" max="6917" width="0" style="18" hidden="1" customWidth="1"/>
    <col min="6918" max="6918" width="8.1796875" style="18" customWidth="1"/>
    <col min="6919" max="6933" width="0" style="18" hidden="1" customWidth="1"/>
    <col min="6934" max="6934" width="11" style="18" customWidth="1"/>
    <col min="6935" max="6935" width="10.26953125" style="18" customWidth="1"/>
    <col min="6936" max="6936" width="24.1796875" style="18" customWidth="1"/>
    <col min="6937" max="6943" width="9.453125" style="18" customWidth="1"/>
    <col min="6944" max="7168" width="9.1796875" style="18"/>
    <col min="7169" max="7169" width="5" style="18" customWidth="1"/>
    <col min="7170" max="7171" width="8.1796875" style="18" customWidth="1"/>
    <col min="7172" max="7173" width="0" style="18" hidden="1" customWidth="1"/>
    <col min="7174" max="7174" width="8.1796875" style="18" customWidth="1"/>
    <col min="7175" max="7189" width="0" style="18" hidden="1" customWidth="1"/>
    <col min="7190" max="7190" width="11" style="18" customWidth="1"/>
    <col min="7191" max="7191" width="10.26953125" style="18" customWidth="1"/>
    <col min="7192" max="7192" width="24.1796875" style="18" customWidth="1"/>
    <col min="7193" max="7199" width="9.453125" style="18" customWidth="1"/>
    <col min="7200" max="7424" width="9.1796875" style="18"/>
    <col min="7425" max="7425" width="5" style="18" customWidth="1"/>
    <col min="7426" max="7427" width="8.1796875" style="18" customWidth="1"/>
    <col min="7428" max="7429" width="0" style="18" hidden="1" customWidth="1"/>
    <col min="7430" max="7430" width="8.1796875" style="18" customWidth="1"/>
    <col min="7431" max="7445" width="0" style="18" hidden="1" customWidth="1"/>
    <col min="7446" max="7446" width="11" style="18" customWidth="1"/>
    <col min="7447" max="7447" width="10.26953125" style="18" customWidth="1"/>
    <col min="7448" max="7448" width="24.1796875" style="18" customWidth="1"/>
    <col min="7449" max="7455" width="9.453125" style="18" customWidth="1"/>
    <col min="7456" max="7680" width="9.1796875" style="18"/>
    <col min="7681" max="7681" width="5" style="18" customWidth="1"/>
    <col min="7682" max="7683" width="8.1796875" style="18" customWidth="1"/>
    <col min="7684" max="7685" width="0" style="18" hidden="1" customWidth="1"/>
    <col min="7686" max="7686" width="8.1796875" style="18" customWidth="1"/>
    <col min="7687" max="7701" width="0" style="18" hidden="1" customWidth="1"/>
    <col min="7702" max="7702" width="11" style="18" customWidth="1"/>
    <col min="7703" max="7703" width="10.26953125" style="18" customWidth="1"/>
    <col min="7704" max="7704" width="24.1796875" style="18" customWidth="1"/>
    <col min="7705" max="7711" width="9.453125" style="18" customWidth="1"/>
    <col min="7712" max="7936" width="9.1796875" style="18"/>
    <col min="7937" max="7937" width="5" style="18" customWidth="1"/>
    <col min="7938" max="7939" width="8.1796875" style="18" customWidth="1"/>
    <col min="7940" max="7941" width="0" style="18" hidden="1" customWidth="1"/>
    <col min="7942" max="7942" width="8.1796875" style="18" customWidth="1"/>
    <col min="7943" max="7957" width="0" style="18" hidden="1" customWidth="1"/>
    <col min="7958" max="7958" width="11" style="18" customWidth="1"/>
    <col min="7959" max="7959" width="10.26953125" style="18" customWidth="1"/>
    <col min="7960" max="7960" width="24.1796875" style="18" customWidth="1"/>
    <col min="7961" max="7967" width="9.453125" style="18" customWidth="1"/>
    <col min="7968" max="8192" width="9.1796875" style="18"/>
    <col min="8193" max="8193" width="5" style="18" customWidth="1"/>
    <col min="8194" max="8195" width="8.1796875" style="18" customWidth="1"/>
    <col min="8196" max="8197" width="0" style="18" hidden="1" customWidth="1"/>
    <col min="8198" max="8198" width="8.1796875" style="18" customWidth="1"/>
    <col min="8199" max="8213" width="0" style="18" hidden="1" customWidth="1"/>
    <col min="8214" max="8214" width="11" style="18" customWidth="1"/>
    <col min="8215" max="8215" width="10.26953125" style="18" customWidth="1"/>
    <col min="8216" max="8216" width="24.1796875" style="18" customWidth="1"/>
    <col min="8217" max="8223" width="9.453125" style="18" customWidth="1"/>
    <col min="8224" max="8448" width="9.1796875" style="18"/>
    <col min="8449" max="8449" width="5" style="18" customWidth="1"/>
    <col min="8450" max="8451" width="8.1796875" style="18" customWidth="1"/>
    <col min="8452" max="8453" width="0" style="18" hidden="1" customWidth="1"/>
    <col min="8454" max="8454" width="8.1796875" style="18" customWidth="1"/>
    <col min="8455" max="8469" width="0" style="18" hidden="1" customWidth="1"/>
    <col min="8470" max="8470" width="11" style="18" customWidth="1"/>
    <col min="8471" max="8471" width="10.26953125" style="18" customWidth="1"/>
    <col min="8472" max="8472" width="24.1796875" style="18" customWidth="1"/>
    <col min="8473" max="8479" width="9.453125" style="18" customWidth="1"/>
    <col min="8480" max="8704" width="9.1796875" style="18"/>
    <col min="8705" max="8705" width="5" style="18" customWidth="1"/>
    <col min="8706" max="8707" width="8.1796875" style="18" customWidth="1"/>
    <col min="8708" max="8709" width="0" style="18" hidden="1" customWidth="1"/>
    <col min="8710" max="8710" width="8.1796875" style="18" customWidth="1"/>
    <col min="8711" max="8725" width="0" style="18" hidden="1" customWidth="1"/>
    <col min="8726" max="8726" width="11" style="18" customWidth="1"/>
    <col min="8727" max="8727" width="10.26953125" style="18" customWidth="1"/>
    <col min="8728" max="8728" width="24.1796875" style="18" customWidth="1"/>
    <col min="8729" max="8735" width="9.453125" style="18" customWidth="1"/>
    <col min="8736" max="8960" width="9.1796875" style="18"/>
    <col min="8961" max="8961" width="5" style="18" customWidth="1"/>
    <col min="8962" max="8963" width="8.1796875" style="18" customWidth="1"/>
    <col min="8964" max="8965" width="0" style="18" hidden="1" customWidth="1"/>
    <col min="8966" max="8966" width="8.1796875" style="18" customWidth="1"/>
    <col min="8967" max="8981" width="0" style="18" hidden="1" customWidth="1"/>
    <col min="8982" max="8982" width="11" style="18" customWidth="1"/>
    <col min="8983" max="8983" width="10.26953125" style="18" customWidth="1"/>
    <col min="8984" max="8984" width="24.1796875" style="18" customWidth="1"/>
    <col min="8985" max="8991" width="9.453125" style="18" customWidth="1"/>
    <col min="8992" max="9216" width="9.1796875" style="18"/>
    <col min="9217" max="9217" width="5" style="18" customWidth="1"/>
    <col min="9218" max="9219" width="8.1796875" style="18" customWidth="1"/>
    <col min="9220" max="9221" width="0" style="18" hidden="1" customWidth="1"/>
    <col min="9222" max="9222" width="8.1796875" style="18" customWidth="1"/>
    <col min="9223" max="9237" width="0" style="18" hidden="1" customWidth="1"/>
    <col min="9238" max="9238" width="11" style="18" customWidth="1"/>
    <col min="9239" max="9239" width="10.26953125" style="18" customWidth="1"/>
    <col min="9240" max="9240" width="24.1796875" style="18" customWidth="1"/>
    <col min="9241" max="9247" width="9.453125" style="18" customWidth="1"/>
    <col min="9248" max="9472" width="9.1796875" style="18"/>
    <col min="9473" max="9473" width="5" style="18" customWidth="1"/>
    <col min="9474" max="9475" width="8.1796875" style="18" customWidth="1"/>
    <col min="9476" max="9477" width="0" style="18" hidden="1" customWidth="1"/>
    <col min="9478" max="9478" width="8.1796875" style="18" customWidth="1"/>
    <col min="9479" max="9493" width="0" style="18" hidden="1" customWidth="1"/>
    <col min="9494" max="9494" width="11" style="18" customWidth="1"/>
    <col min="9495" max="9495" width="10.26953125" style="18" customWidth="1"/>
    <col min="9496" max="9496" width="24.1796875" style="18" customWidth="1"/>
    <col min="9497" max="9503" width="9.453125" style="18" customWidth="1"/>
    <col min="9504" max="9728" width="9.1796875" style="18"/>
    <col min="9729" max="9729" width="5" style="18" customWidth="1"/>
    <col min="9730" max="9731" width="8.1796875" style="18" customWidth="1"/>
    <col min="9732" max="9733" width="0" style="18" hidden="1" customWidth="1"/>
    <col min="9734" max="9734" width="8.1796875" style="18" customWidth="1"/>
    <col min="9735" max="9749" width="0" style="18" hidden="1" customWidth="1"/>
    <col min="9750" max="9750" width="11" style="18" customWidth="1"/>
    <col min="9751" max="9751" width="10.26953125" style="18" customWidth="1"/>
    <col min="9752" max="9752" width="24.1796875" style="18" customWidth="1"/>
    <col min="9753" max="9759" width="9.453125" style="18" customWidth="1"/>
    <col min="9760" max="9984" width="9.1796875" style="18"/>
    <col min="9985" max="9985" width="5" style="18" customWidth="1"/>
    <col min="9986" max="9987" width="8.1796875" style="18" customWidth="1"/>
    <col min="9988" max="9989" width="0" style="18" hidden="1" customWidth="1"/>
    <col min="9990" max="9990" width="8.1796875" style="18" customWidth="1"/>
    <col min="9991" max="10005" width="0" style="18" hidden="1" customWidth="1"/>
    <col min="10006" max="10006" width="11" style="18" customWidth="1"/>
    <col min="10007" max="10007" width="10.26953125" style="18" customWidth="1"/>
    <col min="10008" max="10008" width="24.1796875" style="18" customWidth="1"/>
    <col min="10009" max="10015" width="9.453125" style="18" customWidth="1"/>
    <col min="10016" max="10240" width="9.1796875" style="18"/>
    <col min="10241" max="10241" width="5" style="18" customWidth="1"/>
    <col min="10242" max="10243" width="8.1796875" style="18" customWidth="1"/>
    <col min="10244" max="10245" width="0" style="18" hidden="1" customWidth="1"/>
    <col min="10246" max="10246" width="8.1796875" style="18" customWidth="1"/>
    <col min="10247" max="10261" width="0" style="18" hidden="1" customWidth="1"/>
    <col min="10262" max="10262" width="11" style="18" customWidth="1"/>
    <col min="10263" max="10263" width="10.26953125" style="18" customWidth="1"/>
    <col min="10264" max="10264" width="24.1796875" style="18" customWidth="1"/>
    <col min="10265" max="10271" width="9.453125" style="18" customWidth="1"/>
    <col min="10272" max="10496" width="9.1796875" style="18"/>
    <col min="10497" max="10497" width="5" style="18" customWidth="1"/>
    <col min="10498" max="10499" width="8.1796875" style="18" customWidth="1"/>
    <col min="10500" max="10501" width="0" style="18" hidden="1" customWidth="1"/>
    <col min="10502" max="10502" width="8.1796875" style="18" customWidth="1"/>
    <col min="10503" max="10517" width="0" style="18" hidden="1" customWidth="1"/>
    <col min="10518" max="10518" width="11" style="18" customWidth="1"/>
    <col min="10519" max="10519" width="10.26953125" style="18" customWidth="1"/>
    <col min="10520" max="10520" width="24.1796875" style="18" customWidth="1"/>
    <col min="10521" max="10527" width="9.453125" style="18" customWidth="1"/>
    <col min="10528" max="10752" width="9.1796875" style="18"/>
    <col min="10753" max="10753" width="5" style="18" customWidth="1"/>
    <col min="10754" max="10755" width="8.1796875" style="18" customWidth="1"/>
    <col min="10756" max="10757" width="0" style="18" hidden="1" customWidth="1"/>
    <col min="10758" max="10758" width="8.1796875" style="18" customWidth="1"/>
    <col min="10759" max="10773" width="0" style="18" hidden="1" customWidth="1"/>
    <col min="10774" max="10774" width="11" style="18" customWidth="1"/>
    <col min="10775" max="10775" width="10.26953125" style="18" customWidth="1"/>
    <col min="10776" max="10776" width="24.1796875" style="18" customWidth="1"/>
    <col min="10777" max="10783" width="9.453125" style="18" customWidth="1"/>
    <col min="10784" max="11008" width="9.1796875" style="18"/>
    <col min="11009" max="11009" width="5" style="18" customWidth="1"/>
    <col min="11010" max="11011" width="8.1796875" style="18" customWidth="1"/>
    <col min="11012" max="11013" width="0" style="18" hidden="1" customWidth="1"/>
    <col min="11014" max="11014" width="8.1796875" style="18" customWidth="1"/>
    <col min="11015" max="11029" width="0" style="18" hidden="1" customWidth="1"/>
    <col min="11030" max="11030" width="11" style="18" customWidth="1"/>
    <col min="11031" max="11031" width="10.26953125" style="18" customWidth="1"/>
    <col min="11032" max="11032" width="24.1796875" style="18" customWidth="1"/>
    <col min="11033" max="11039" width="9.453125" style="18" customWidth="1"/>
    <col min="11040" max="11264" width="9.1796875" style="18"/>
    <col min="11265" max="11265" width="5" style="18" customWidth="1"/>
    <col min="11266" max="11267" width="8.1796875" style="18" customWidth="1"/>
    <col min="11268" max="11269" width="0" style="18" hidden="1" customWidth="1"/>
    <col min="11270" max="11270" width="8.1796875" style="18" customWidth="1"/>
    <col min="11271" max="11285" width="0" style="18" hidden="1" customWidth="1"/>
    <col min="11286" max="11286" width="11" style="18" customWidth="1"/>
    <col min="11287" max="11287" width="10.26953125" style="18" customWidth="1"/>
    <col min="11288" max="11288" width="24.1796875" style="18" customWidth="1"/>
    <col min="11289" max="11295" width="9.453125" style="18" customWidth="1"/>
    <col min="11296" max="11520" width="9.1796875" style="18"/>
    <col min="11521" max="11521" width="5" style="18" customWidth="1"/>
    <col min="11522" max="11523" width="8.1796875" style="18" customWidth="1"/>
    <col min="11524" max="11525" width="0" style="18" hidden="1" customWidth="1"/>
    <col min="11526" max="11526" width="8.1796875" style="18" customWidth="1"/>
    <col min="11527" max="11541" width="0" style="18" hidden="1" customWidth="1"/>
    <col min="11542" max="11542" width="11" style="18" customWidth="1"/>
    <col min="11543" max="11543" width="10.26953125" style="18" customWidth="1"/>
    <col min="11544" max="11544" width="24.1796875" style="18" customWidth="1"/>
    <col min="11545" max="11551" width="9.453125" style="18" customWidth="1"/>
    <col min="11552" max="11776" width="9.1796875" style="18"/>
    <col min="11777" max="11777" width="5" style="18" customWidth="1"/>
    <col min="11778" max="11779" width="8.1796875" style="18" customWidth="1"/>
    <col min="11780" max="11781" width="0" style="18" hidden="1" customWidth="1"/>
    <col min="11782" max="11782" width="8.1796875" style="18" customWidth="1"/>
    <col min="11783" max="11797" width="0" style="18" hidden="1" customWidth="1"/>
    <col min="11798" max="11798" width="11" style="18" customWidth="1"/>
    <col min="11799" max="11799" width="10.26953125" style="18" customWidth="1"/>
    <col min="11800" max="11800" width="24.1796875" style="18" customWidth="1"/>
    <col min="11801" max="11807" width="9.453125" style="18" customWidth="1"/>
    <col min="11808" max="12032" width="9.1796875" style="18"/>
    <col min="12033" max="12033" width="5" style="18" customWidth="1"/>
    <col min="12034" max="12035" width="8.1796875" style="18" customWidth="1"/>
    <col min="12036" max="12037" width="0" style="18" hidden="1" customWidth="1"/>
    <col min="12038" max="12038" width="8.1796875" style="18" customWidth="1"/>
    <col min="12039" max="12053" width="0" style="18" hidden="1" customWidth="1"/>
    <col min="12054" max="12054" width="11" style="18" customWidth="1"/>
    <col min="12055" max="12055" width="10.26953125" style="18" customWidth="1"/>
    <col min="12056" max="12056" width="24.1796875" style="18" customWidth="1"/>
    <col min="12057" max="12063" width="9.453125" style="18" customWidth="1"/>
    <col min="12064" max="12288" width="9.1796875" style="18"/>
    <col min="12289" max="12289" width="5" style="18" customWidth="1"/>
    <col min="12290" max="12291" width="8.1796875" style="18" customWidth="1"/>
    <col min="12292" max="12293" width="0" style="18" hidden="1" customWidth="1"/>
    <col min="12294" max="12294" width="8.1796875" style="18" customWidth="1"/>
    <col min="12295" max="12309" width="0" style="18" hidden="1" customWidth="1"/>
    <col min="12310" max="12310" width="11" style="18" customWidth="1"/>
    <col min="12311" max="12311" width="10.26953125" style="18" customWidth="1"/>
    <col min="12312" max="12312" width="24.1796875" style="18" customWidth="1"/>
    <col min="12313" max="12319" width="9.453125" style="18" customWidth="1"/>
    <col min="12320" max="12544" width="9.1796875" style="18"/>
    <col min="12545" max="12545" width="5" style="18" customWidth="1"/>
    <col min="12546" max="12547" width="8.1796875" style="18" customWidth="1"/>
    <col min="12548" max="12549" width="0" style="18" hidden="1" customWidth="1"/>
    <col min="12550" max="12550" width="8.1796875" style="18" customWidth="1"/>
    <col min="12551" max="12565" width="0" style="18" hidden="1" customWidth="1"/>
    <col min="12566" max="12566" width="11" style="18" customWidth="1"/>
    <col min="12567" max="12567" width="10.26953125" style="18" customWidth="1"/>
    <col min="12568" max="12568" width="24.1796875" style="18" customWidth="1"/>
    <col min="12569" max="12575" width="9.453125" style="18" customWidth="1"/>
    <col min="12576" max="12800" width="9.1796875" style="18"/>
    <col min="12801" max="12801" width="5" style="18" customWidth="1"/>
    <col min="12802" max="12803" width="8.1796875" style="18" customWidth="1"/>
    <col min="12804" max="12805" width="0" style="18" hidden="1" customWidth="1"/>
    <col min="12806" max="12806" width="8.1796875" style="18" customWidth="1"/>
    <col min="12807" max="12821" width="0" style="18" hidden="1" customWidth="1"/>
    <col min="12822" max="12822" width="11" style="18" customWidth="1"/>
    <col min="12823" max="12823" width="10.26953125" style="18" customWidth="1"/>
    <col min="12824" max="12824" width="24.1796875" style="18" customWidth="1"/>
    <col min="12825" max="12831" width="9.453125" style="18" customWidth="1"/>
    <col min="12832" max="13056" width="9.1796875" style="18"/>
    <col min="13057" max="13057" width="5" style="18" customWidth="1"/>
    <col min="13058" max="13059" width="8.1796875" style="18" customWidth="1"/>
    <col min="13060" max="13061" width="0" style="18" hidden="1" customWidth="1"/>
    <col min="13062" max="13062" width="8.1796875" style="18" customWidth="1"/>
    <col min="13063" max="13077" width="0" style="18" hidden="1" customWidth="1"/>
    <col min="13078" max="13078" width="11" style="18" customWidth="1"/>
    <col min="13079" max="13079" width="10.26953125" style="18" customWidth="1"/>
    <col min="13080" max="13080" width="24.1796875" style="18" customWidth="1"/>
    <col min="13081" max="13087" width="9.453125" style="18" customWidth="1"/>
    <col min="13088" max="13312" width="9.1796875" style="18"/>
    <col min="13313" max="13313" width="5" style="18" customWidth="1"/>
    <col min="13314" max="13315" width="8.1796875" style="18" customWidth="1"/>
    <col min="13316" max="13317" width="0" style="18" hidden="1" customWidth="1"/>
    <col min="13318" max="13318" width="8.1796875" style="18" customWidth="1"/>
    <col min="13319" max="13333" width="0" style="18" hidden="1" customWidth="1"/>
    <col min="13334" max="13334" width="11" style="18" customWidth="1"/>
    <col min="13335" max="13335" width="10.26953125" style="18" customWidth="1"/>
    <col min="13336" max="13336" width="24.1796875" style="18" customWidth="1"/>
    <col min="13337" max="13343" width="9.453125" style="18" customWidth="1"/>
    <col min="13344" max="13568" width="9.1796875" style="18"/>
    <col min="13569" max="13569" width="5" style="18" customWidth="1"/>
    <col min="13570" max="13571" width="8.1796875" style="18" customWidth="1"/>
    <col min="13572" max="13573" width="0" style="18" hidden="1" customWidth="1"/>
    <col min="13574" max="13574" width="8.1796875" style="18" customWidth="1"/>
    <col min="13575" max="13589" width="0" style="18" hidden="1" customWidth="1"/>
    <col min="13590" max="13590" width="11" style="18" customWidth="1"/>
    <col min="13591" max="13591" width="10.26953125" style="18" customWidth="1"/>
    <col min="13592" max="13592" width="24.1796875" style="18" customWidth="1"/>
    <col min="13593" max="13599" width="9.453125" style="18" customWidth="1"/>
    <col min="13600" max="13824" width="9.1796875" style="18"/>
    <col min="13825" max="13825" width="5" style="18" customWidth="1"/>
    <col min="13826" max="13827" width="8.1796875" style="18" customWidth="1"/>
    <col min="13828" max="13829" width="0" style="18" hidden="1" customWidth="1"/>
    <col min="13830" max="13830" width="8.1796875" style="18" customWidth="1"/>
    <col min="13831" max="13845" width="0" style="18" hidden="1" customWidth="1"/>
    <col min="13846" max="13846" width="11" style="18" customWidth="1"/>
    <col min="13847" max="13847" width="10.26953125" style="18" customWidth="1"/>
    <col min="13848" max="13848" width="24.1796875" style="18" customWidth="1"/>
    <col min="13849" max="13855" width="9.453125" style="18" customWidth="1"/>
    <col min="13856" max="14080" width="9.1796875" style="18"/>
    <col min="14081" max="14081" width="5" style="18" customWidth="1"/>
    <col min="14082" max="14083" width="8.1796875" style="18" customWidth="1"/>
    <col min="14084" max="14085" width="0" style="18" hidden="1" customWidth="1"/>
    <col min="14086" max="14086" width="8.1796875" style="18" customWidth="1"/>
    <col min="14087" max="14101" width="0" style="18" hidden="1" customWidth="1"/>
    <col min="14102" max="14102" width="11" style="18" customWidth="1"/>
    <col min="14103" max="14103" width="10.26953125" style="18" customWidth="1"/>
    <col min="14104" max="14104" width="24.1796875" style="18" customWidth="1"/>
    <col min="14105" max="14111" width="9.453125" style="18" customWidth="1"/>
    <col min="14112" max="14336" width="9.1796875" style="18"/>
    <col min="14337" max="14337" width="5" style="18" customWidth="1"/>
    <col min="14338" max="14339" width="8.1796875" style="18" customWidth="1"/>
    <col min="14340" max="14341" width="0" style="18" hidden="1" customWidth="1"/>
    <col min="14342" max="14342" width="8.1796875" style="18" customWidth="1"/>
    <col min="14343" max="14357" width="0" style="18" hidden="1" customWidth="1"/>
    <col min="14358" max="14358" width="11" style="18" customWidth="1"/>
    <col min="14359" max="14359" width="10.26953125" style="18" customWidth="1"/>
    <col min="14360" max="14360" width="24.1796875" style="18" customWidth="1"/>
    <col min="14361" max="14367" width="9.453125" style="18" customWidth="1"/>
    <col min="14368" max="14592" width="9.1796875" style="18"/>
    <col min="14593" max="14593" width="5" style="18" customWidth="1"/>
    <col min="14594" max="14595" width="8.1796875" style="18" customWidth="1"/>
    <col min="14596" max="14597" width="0" style="18" hidden="1" customWidth="1"/>
    <col min="14598" max="14598" width="8.1796875" style="18" customWidth="1"/>
    <col min="14599" max="14613" width="0" style="18" hidden="1" customWidth="1"/>
    <col min="14614" max="14614" width="11" style="18" customWidth="1"/>
    <col min="14615" max="14615" width="10.26953125" style="18" customWidth="1"/>
    <col min="14616" max="14616" width="24.1796875" style="18" customWidth="1"/>
    <col min="14617" max="14623" width="9.453125" style="18" customWidth="1"/>
    <col min="14624" max="14848" width="9.1796875" style="18"/>
    <col min="14849" max="14849" width="5" style="18" customWidth="1"/>
    <col min="14850" max="14851" width="8.1796875" style="18" customWidth="1"/>
    <col min="14852" max="14853" width="0" style="18" hidden="1" customWidth="1"/>
    <col min="14854" max="14854" width="8.1796875" style="18" customWidth="1"/>
    <col min="14855" max="14869" width="0" style="18" hidden="1" customWidth="1"/>
    <col min="14870" max="14870" width="11" style="18" customWidth="1"/>
    <col min="14871" max="14871" width="10.26953125" style="18" customWidth="1"/>
    <col min="14872" max="14872" width="24.1796875" style="18" customWidth="1"/>
    <col min="14873" max="14879" width="9.453125" style="18" customWidth="1"/>
    <col min="14880" max="15104" width="9.1796875" style="18"/>
    <col min="15105" max="15105" width="5" style="18" customWidth="1"/>
    <col min="15106" max="15107" width="8.1796875" style="18" customWidth="1"/>
    <col min="15108" max="15109" width="0" style="18" hidden="1" customWidth="1"/>
    <col min="15110" max="15110" width="8.1796875" style="18" customWidth="1"/>
    <col min="15111" max="15125" width="0" style="18" hidden="1" customWidth="1"/>
    <col min="15126" max="15126" width="11" style="18" customWidth="1"/>
    <col min="15127" max="15127" width="10.26953125" style="18" customWidth="1"/>
    <col min="15128" max="15128" width="24.1796875" style="18" customWidth="1"/>
    <col min="15129" max="15135" width="9.453125" style="18" customWidth="1"/>
    <col min="15136" max="15360" width="9.1796875" style="18"/>
    <col min="15361" max="15361" width="5" style="18" customWidth="1"/>
    <col min="15362" max="15363" width="8.1796875" style="18" customWidth="1"/>
    <col min="15364" max="15365" width="0" style="18" hidden="1" customWidth="1"/>
    <col min="15366" max="15366" width="8.1796875" style="18" customWidth="1"/>
    <col min="15367" max="15381" width="0" style="18" hidden="1" customWidth="1"/>
    <col min="15382" max="15382" width="11" style="18" customWidth="1"/>
    <col min="15383" max="15383" width="10.26953125" style="18" customWidth="1"/>
    <col min="15384" max="15384" width="24.1796875" style="18" customWidth="1"/>
    <col min="15385" max="15391" width="9.453125" style="18" customWidth="1"/>
    <col min="15392" max="15616" width="9.1796875" style="18"/>
    <col min="15617" max="15617" width="5" style="18" customWidth="1"/>
    <col min="15618" max="15619" width="8.1796875" style="18" customWidth="1"/>
    <col min="15620" max="15621" width="0" style="18" hidden="1" customWidth="1"/>
    <col min="15622" max="15622" width="8.1796875" style="18" customWidth="1"/>
    <col min="15623" max="15637" width="0" style="18" hidden="1" customWidth="1"/>
    <col min="15638" max="15638" width="11" style="18" customWidth="1"/>
    <col min="15639" max="15639" width="10.26953125" style="18" customWidth="1"/>
    <col min="15640" max="15640" width="24.1796875" style="18" customWidth="1"/>
    <col min="15641" max="15647" width="9.453125" style="18" customWidth="1"/>
    <col min="15648" max="15872" width="9.1796875" style="18"/>
    <col min="15873" max="15873" width="5" style="18" customWidth="1"/>
    <col min="15874" max="15875" width="8.1796875" style="18" customWidth="1"/>
    <col min="15876" max="15877" width="0" style="18" hidden="1" customWidth="1"/>
    <col min="15878" max="15878" width="8.1796875" style="18" customWidth="1"/>
    <col min="15879" max="15893" width="0" style="18" hidden="1" customWidth="1"/>
    <col min="15894" max="15894" width="11" style="18" customWidth="1"/>
    <col min="15895" max="15895" width="10.26953125" style="18" customWidth="1"/>
    <col min="15896" max="15896" width="24.1796875" style="18" customWidth="1"/>
    <col min="15897" max="15903" width="9.453125" style="18" customWidth="1"/>
    <col min="15904" max="16128" width="9.1796875" style="18"/>
    <col min="16129" max="16129" width="5" style="18" customWidth="1"/>
    <col min="16130" max="16131" width="8.1796875" style="18" customWidth="1"/>
    <col min="16132" max="16133" width="0" style="18" hidden="1" customWidth="1"/>
    <col min="16134" max="16134" width="8.1796875" style="18" customWidth="1"/>
    <col min="16135" max="16149" width="0" style="18" hidden="1" customWidth="1"/>
    <col min="16150" max="16150" width="11" style="18" customWidth="1"/>
    <col min="16151" max="16151" width="10.26953125" style="18" customWidth="1"/>
    <col min="16152" max="16152" width="24.1796875" style="18" customWidth="1"/>
    <col min="16153" max="16159" width="9.453125" style="18" customWidth="1"/>
    <col min="16160" max="16384" width="9.1796875" style="18"/>
  </cols>
  <sheetData>
    <row r="1" spans="1:31" x14ac:dyDescent="0.2">
      <c r="A1" s="48"/>
      <c r="B1" s="373" t="s">
        <v>29</v>
      </c>
      <c r="C1" s="373"/>
      <c r="J1" s="43" t="s">
        <v>48</v>
      </c>
      <c r="K1" s="43" t="s">
        <v>47</v>
      </c>
      <c r="O1" s="19"/>
      <c r="P1" s="81">
        <v>3.0000000000000001E-3</v>
      </c>
      <c r="Q1" s="80"/>
      <c r="T1" s="43" t="s">
        <v>258</v>
      </c>
      <c r="V1" s="373" t="s">
        <v>259</v>
      </c>
      <c r="W1" s="373"/>
      <c r="X1" s="373"/>
      <c r="Y1" s="43"/>
      <c r="Z1" s="46" t="s">
        <v>260</v>
      </c>
      <c r="AA1" s="43">
        <v>0.01</v>
      </c>
      <c r="AB1" s="43"/>
      <c r="AC1" s="199" t="s">
        <v>336</v>
      </c>
      <c r="AD1" s="378">
        <v>0.01</v>
      </c>
      <c r="AE1" s="378"/>
    </row>
    <row r="2" spans="1:31" ht="12.5" x14ac:dyDescent="0.25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148" t="s">
        <v>253</v>
      </c>
      <c r="Q2" s="67"/>
      <c r="R2" s="46" t="s">
        <v>39</v>
      </c>
      <c r="S2" s="46" t="s">
        <v>38</v>
      </c>
      <c r="T2" s="46" t="s">
        <v>58</v>
      </c>
      <c r="U2" s="67" t="s">
        <v>254</v>
      </c>
      <c r="V2" s="46" t="s">
        <v>261</v>
      </c>
      <c r="W2" s="46" t="s">
        <v>262</v>
      </c>
      <c r="X2" s="46" t="s">
        <v>263</v>
      </c>
      <c r="Y2" s="46" t="s">
        <v>264</v>
      </c>
      <c r="Z2" s="113" t="s">
        <v>220</v>
      </c>
      <c r="AA2" s="46" t="s">
        <v>265</v>
      </c>
      <c r="AB2" s="46" t="s">
        <v>217</v>
      </c>
      <c r="AC2" s="46" t="s">
        <v>266</v>
      </c>
      <c r="AD2" s="46" t="s">
        <v>267</v>
      </c>
      <c r="AE2" s="46" t="s">
        <v>268</v>
      </c>
    </row>
    <row r="3" spans="1:31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65">
        <v>-9.3472255980682646E-4</v>
      </c>
      <c r="G3" s="25"/>
      <c r="H3" s="26"/>
      <c r="I3" s="39"/>
      <c r="J3" s="32">
        <f>B_(A3,A5)</f>
        <v>0.49626867989791179</v>
      </c>
      <c r="K3" s="32">
        <f>A_(A3,A5,AD1)</f>
        <v>1</v>
      </c>
      <c r="L3" s="51">
        <f>B5/B3*K3*EXP(-J3*F3)</f>
        <v>0.99874918587312189</v>
      </c>
      <c r="M3" s="63" t="s">
        <v>37</v>
      </c>
      <c r="N3" s="55"/>
      <c r="O3" s="61" t="s">
        <v>36</v>
      </c>
      <c r="Q3" s="21"/>
      <c r="R3" s="51"/>
      <c r="S3" s="150" t="s">
        <v>255</v>
      </c>
      <c r="T3" s="156">
        <f>T16*1000000</f>
        <v>-1.2230129018894753E-6</v>
      </c>
      <c r="U3" s="79"/>
      <c r="AE3" s="43" t="s">
        <v>269</v>
      </c>
    </row>
    <row r="4" spans="1:31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 t="shared" ref="F4:F15" si="1">$F$3</f>
        <v>-9.3472255980682646E-4</v>
      </c>
      <c r="G4" s="38"/>
      <c r="H4" s="26"/>
      <c r="I4" s="39"/>
      <c r="J4" s="60" t="s">
        <v>35</v>
      </c>
      <c r="K4" s="60" t="s">
        <v>34</v>
      </c>
      <c r="L4" s="51"/>
      <c r="M4" s="59"/>
      <c r="N4" s="152" t="s">
        <v>256</v>
      </c>
      <c r="O4" s="58"/>
      <c r="P4" s="49"/>
      <c r="Q4" s="21"/>
      <c r="R4" s="51"/>
      <c r="S4" s="51"/>
      <c r="T4" s="32"/>
      <c r="U4" s="79"/>
      <c r="V4" s="157"/>
      <c r="W4" s="26"/>
      <c r="X4" s="158"/>
      <c r="Y4" s="158"/>
      <c r="Z4" s="158"/>
      <c r="AA4" s="158"/>
      <c r="AB4" s="158"/>
      <c r="AC4" s="158"/>
      <c r="AD4" s="158"/>
      <c r="AE4" s="28">
        <f>AE15+P1*0.5*AE16</f>
        <v>8.338215489194889E-3</v>
      </c>
    </row>
    <row r="5" spans="1:31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si="1"/>
        <v>-9.3472255980682646E-4</v>
      </c>
      <c r="G5" s="38"/>
      <c r="H5" s="26"/>
      <c r="I5" s="25"/>
      <c r="J5" s="32">
        <f>B_(A5,A7)</f>
        <v>0.49626867989791179</v>
      </c>
      <c r="K5" s="32">
        <f>A_(A5,A7,AD1)</f>
        <v>0.99998782333126668</v>
      </c>
      <c r="L5" s="51">
        <f>B7/B5*K5*EXP(-J5*F5)</f>
        <v>0.99877416704623323</v>
      </c>
      <c r="M5" s="63" t="s">
        <v>33</v>
      </c>
      <c r="N5" s="152" t="s">
        <v>257</v>
      </c>
      <c r="O5" s="61" t="s">
        <v>32</v>
      </c>
      <c r="P5" s="52"/>
      <c r="Q5" s="75"/>
      <c r="R5" s="51"/>
      <c r="S5" s="51"/>
      <c r="T5" s="32"/>
      <c r="U5" s="79"/>
      <c r="V5" s="157"/>
      <c r="W5" s="26"/>
      <c r="X5" s="159"/>
      <c r="Y5" s="159"/>
      <c r="Z5" s="159"/>
      <c r="AA5" s="159"/>
      <c r="AB5" s="159"/>
      <c r="AC5" s="159"/>
      <c r="AD5" s="159"/>
      <c r="AE5" s="159"/>
    </row>
    <row r="6" spans="1:31" ht="12" customHeight="1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-9.3472255980682646E-4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R6" s="153"/>
      <c r="S6" s="153"/>
      <c r="T6" s="32"/>
      <c r="U6" s="79"/>
      <c r="V6" s="160"/>
      <c r="W6" s="26"/>
      <c r="X6" s="159"/>
      <c r="AE6" s="159"/>
    </row>
    <row r="7" spans="1:31" ht="12" customHeight="1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-9.3472255980682646E-4</v>
      </c>
      <c r="G7" s="30"/>
      <c r="H7" s="26"/>
      <c r="I7" s="30"/>
      <c r="J7" s="32">
        <f>B_(A7,A9)</f>
        <v>0.49626867989791179</v>
      </c>
      <c r="K7" s="32">
        <f>A_(A7,A9,AD1)</f>
        <v>0.99996396677176336</v>
      </c>
      <c r="L7" s="51">
        <f>B9/B7*K7*EXP(-J7*F7)</f>
        <v>0.99867725358208537</v>
      </c>
      <c r="M7" s="30" t="s">
        <v>13</v>
      </c>
      <c r="N7" s="55">
        <f>(1/L7-1)*360/182.5</f>
        <v>2.6127091596229554E-3</v>
      </c>
      <c r="O7" s="30" t="s">
        <v>13</v>
      </c>
      <c r="P7" s="376"/>
      <c r="Q7" s="376"/>
      <c r="R7" s="376"/>
      <c r="S7" s="376"/>
      <c r="T7" s="32"/>
      <c r="U7" s="79"/>
      <c r="V7" s="377" t="s">
        <v>270</v>
      </c>
      <c r="W7" s="377"/>
      <c r="X7" s="377"/>
      <c r="AA7" s="161"/>
      <c r="AB7" s="161"/>
      <c r="AC7" s="161"/>
      <c r="AD7" s="161"/>
      <c r="AE7" s="161"/>
    </row>
    <row r="8" spans="1:31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-9.3472255980682646E-4</v>
      </c>
      <c r="G8" s="35"/>
      <c r="H8" s="26"/>
      <c r="I8" s="25"/>
      <c r="L8" s="51"/>
      <c r="M8" s="51"/>
      <c r="N8" s="55"/>
      <c r="O8" s="58"/>
      <c r="Q8" s="153"/>
      <c r="U8" s="19"/>
    </row>
    <row r="9" spans="1:31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-9.3472255980682646E-4</v>
      </c>
      <c r="G9" s="35"/>
      <c r="H9" s="26"/>
      <c r="I9" s="25"/>
      <c r="J9" s="32">
        <f>B_(A9,A11)</f>
        <v>0.49626867989791179</v>
      </c>
      <c r="K9" s="32">
        <f>A_(A9,A11,AD1)</f>
        <v>0.99992895558403017</v>
      </c>
      <c r="L9" s="51">
        <f>B11/B9*K9*EXP(-J9*F9)</f>
        <v>0.99871966289358527</v>
      </c>
      <c r="M9" s="51"/>
      <c r="N9" s="55">
        <f>(1/L9-1)*360/182.5</f>
        <v>2.5288342442052942E-3</v>
      </c>
      <c r="O9" s="54"/>
      <c r="P9" s="154">
        <f>N7*182.5/360-$P$1/2</f>
        <v>-1.7550160658002969E-4</v>
      </c>
      <c r="Q9" s="155"/>
      <c r="R9" s="51">
        <f>B_(A9,$A$15)</f>
        <v>1.4667506055633348</v>
      </c>
      <c r="S9" s="51">
        <f>A_(A9,$A$15,AD1)</f>
        <v>0.99968796947748795</v>
      </c>
      <c r="T9" s="32">
        <f>P9*B9/S9*EXP(R9*F9)</f>
        <v>-1.7441614078394835E-4</v>
      </c>
      <c r="U9" s="70" t="s">
        <v>55</v>
      </c>
      <c r="V9" s="162">
        <f>B_($A$7,A9)</f>
        <v>0.49626867989791179</v>
      </c>
      <c r="W9" s="162">
        <f>A_($A$7,A9,AD1)</f>
        <v>0.99996396677176336</v>
      </c>
      <c r="X9" s="163">
        <f>B9/$B$7*W9*EXP(-V9*F9)</f>
        <v>0.99867725358208537</v>
      </c>
      <c r="Y9" s="32">
        <f>B_(0,2*A7)</f>
        <v>1.9411822138583761</v>
      </c>
      <c r="Z9" s="32">
        <f>SQRT(0.5*$AA$1^2*Y9*V9^2)</f>
        <v>4.8891686810862952E-3</v>
      </c>
      <c r="AA9" s="32">
        <f>LN(B9/($B$7*X9))/Z9+Z9/2</f>
        <v>-8.5063063949899348E-2</v>
      </c>
      <c r="AB9" s="32">
        <f>AA9-Z9</f>
        <v>-8.9952232630985646E-2</v>
      </c>
      <c r="AC9" s="32">
        <f>NORMSDIST(-AA9)</f>
        <v>0.53389437273093521</v>
      </c>
      <c r="AD9" s="32">
        <f>NORMSDIST(-AB9)</f>
        <v>0.53583741314369704</v>
      </c>
      <c r="AE9" s="32">
        <f>$B$7*X9*AD9-B9*AC9</f>
        <v>2.1611934956053958E-3</v>
      </c>
    </row>
    <row r="10" spans="1:31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-9.3472255980682646E-4</v>
      </c>
      <c r="G10" s="27"/>
      <c r="H10" s="26"/>
      <c r="I10" s="25"/>
      <c r="L10" s="51"/>
      <c r="M10" s="51"/>
      <c r="N10" s="57"/>
      <c r="O10" s="56"/>
      <c r="P10" s="76"/>
      <c r="Q10" s="19"/>
      <c r="R10" s="70"/>
      <c r="S10" s="70"/>
      <c r="U10" s="19"/>
      <c r="V10" s="164" t="s">
        <v>271</v>
      </c>
      <c r="W10" s="165" t="s">
        <v>272</v>
      </c>
      <c r="X10" s="165" t="s">
        <v>273</v>
      </c>
      <c r="Y10" s="159"/>
      <c r="Z10" s="159"/>
      <c r="AA10" s="159"/>
      <c r="AB10" s="159"/>
      <c r="AC10" s="159"/>
      <c r="AD10" s="159"/>
      <c r="AE10" s="159"/>
    </row>
    <row r="11" spans="1:31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-9.3472255980682646E-4</v>
      </c>
      <c r="G11" s="27"/>
      <c r="H11" s="26"/>
      <c r="I11" s="25"/>
      <c r="J11" s="32">
        <f>B_(A11,A13)</f>
        <v>0.49626867989791179</v>
      </c>
      <c r="K11" s="32">
        <f>A_(A11,A13,AD1)</f>
        <v>0.99988329717551372</v>
      </c>
      <c r="L11" s="51">
        <f>B13/B11*K11*EXP(-J11*F11)</f>
        <v>0.99835600537935876</v>
      </c>
      <c r="M11" s="51"/>
      <c r="N11" s="55">
        <f>(1/L11-1)*360/182.5</f>
        <v>3.2482884615287152E-3</v>
      </c>
      <c r="O11" s="54"/>
      <c r="P11" s="154">
        <f>N9*182.5/360-$P$1/2</f>
        <v>-2.1802152897926067E-4</v>
      </c>
      <c r="R11" s="51">
        <f>B_(A11,$A$15)</f>
        <v>0.98514888171639492</v>
      </c>
      <c r="S11" s="51">
        <f>A_(A11,$A$15,AD1)</f>
        <v>0.9997229722274118</v>
      </c>
      <c r="T11" s="32">
        <f>P11*B11/S11*EXP(R11*F11)</f>
        <v>-2.164004966436734E-4</v>
      </c>
      <c r="U11" s="70" t="s">
        <v>51</v>
      </c>
      <c r="V11" s="162">
        <f>B_($A$7,A11)</f>
        <v>0.98514888171639492</v>
      </c>
      <c r="W11" s="162">
        <f>A_($A$7,A11,AD1)</f>
        <v>0.99990510042892577</v>
      </c>
      <c r="X11" s="163">
        <f>B11/$B$7*W11*EXP(-V11*F11)</f>
        <v>0.99740386690577443</v>
      </c>
      <c r="Y11" s="32">
        <f>B_(0,2*A7)</f>
        <v>1.9411822138583761</v>
      </c>
      <c r="Z11" s="32">
        <f>SQRT(0.5*$AA$1^2*Y11*V11^2)</f>
        <v>9.7055471235577614E-3</v>
      </c>
      <c r="AA11" s="32">
        <f>LN(B11/($B$7*X11))/Z11+Z11/2</f>
        <v>-8.0246685507433219E-2</v>
      </c>
      <c r="AB11" s="32">
        <f>AA11-Z11</f>
        <v>-8.9952232630990975E-2</v>
      </c>
      <c r="AC11" s="32">
        <f>NORMSDIST(-AA11)</f>
        <v>0.5319794699047401</v>
      </c>
      <c r="AD11" s="32">
        <f>NORMSDIST(-AB11)</f>
        <v>0.53583741314369915</v>
      </c>
      <c r="AE11" s="32">
        <f>$B$7*X11*AD11-B11*AC11</f>
        <v>4.2714663838719913E-3</v>
      </c>
    </row>
    <row r="12" spans="1:31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-9.3472255980682646E-4</v>
      </c>
      <c r="G12" s="27"/>
      <c r="H12" s="26"/>
      <c r="I12" s="25"/>
      <c r="L12" s="51"/>
      <c r="M12" s="51"/>
      <c r="P12" s="75"/>
      <c r="Q12" s="19"/>
      <c r="U12" s="19"/>
      <c r="V12" s="164" t="s">
        <v>274</v>
      </c>
      <c r="W12" s="165" t="s">
        <v>275</v>
      </c>
      <c r="X12" s="165" t="s">
        <v>276</v>
      </c>
      <c r="Y12" s="159"/>
      <c r="Z12" s="159"/>
      <c r="AA12" s="159"/>
      <c r="AB12" s="159"/>
      <c r="AC12" s="159"/>
      <c r="AD12" s="159"/>
      <c r="AE12" s="159"/>
    </row>
    <row r="13" spans="1:31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-9.3472255980682646E-4</v>
      </c>
      <c r="G13" s="27"/>
      <c r="H13" s="26"/>
      <c r="I13" s="25"/>
      <c r="J13" s="32">
        <f>B_(A13,A15)</f>
        <v>0.49626867989791179</v>
      </c>
      <c r="K13" s="32">
        <f>A_(A13,A15,AD1)</f>
        <v>0.99982748162305835</v>
      </c>
      <c r="L13" s="51">
        <f>B15/B13*K13*EXP(-J13*F13)</f>
        <v>0.99825492889489797</v>
      </c>
      <c r="M13" s="51"/>
      <c r="N13" s="55">
        <f>(1/L13-1)*360/182.5</f>
        <v>3.4483496582901232E-3</v>
      </c>
      <c r="O13" s="54"/>
      <c r="P13" s="154">
        <f>N11*182.5/360-$P$1/2</f>
        <v>1.4670178952497356E-4</v>
      </c>
      <c r="Q13" s="30"/>
      <c r="R13" s="51">
        <f>B_(A13,$A$15)</f>
        <v>0.49626867989791179</v>
      </c>
      <c r="S13" s="51">
        <f>A_(A13,$A$15,AD1)</f>
        <v>0.99982748162305835</v>
      </c>
      <c r="T13" s="32">
        <f>P13*B13/S13*EXP(R13*F13)</f>
        <v>1.4537241571635506E-4</v>
      </c>
      <c r="U13" s="30" t="s">
        <v>13</v>
      </c>
      <c r="V13" s="162">
        <f>B_($A$7,A13)</f>
        <v>1.4667506055633348</v>
      </c>
      <c r="W13" s="162">
        <f>A_($A$7,A13,AD1)</f>
        <v>0.99982443558157141</v>
      </c>
      <c r="X13" s="163">
        <f>B13/$B$7*W13*EXP(-V13*F13)</f>
        <v>0.99578637034206996</v>
      </c>
      <c r="Y13" s="32">
        <f>B_(0,2*A7)</f>
        <v>1.9411822138583761</v>
      </c>
      <c r="Z13" s="32">
        <f>SQRT(0.5*$AA$1^2*Y13*V13^2)</f>
        <v>1.4450219032883179E-2</v>
      </c>
      <c r="AA13" s="32">
        <f>LN(B13/($B$7*X13))/Z13+Z13/2</f>
        <v>-7.5502013598093373E-2</v>
      </c>
      <c r="AB13" s="32">
        <f>AA13-Z13</f>
        <v>-8.9952232630976556E-2</v>
      </c>
      <c r="AC13" s="32">
        <f>NORMSDIST(-AA13)</f>
        <v>0.53009235225395934</v>
      </c>
      <c r="AD13" s="32">
        <f>NORMSDIST(-AB13)</f>
        <v>0.53583741314369338</v>
      </c>
      <c r="AE13" s="32">
        <f>$B$7*X13*AD13-B13*AC13</f>
        <v>6.329973020045343E-3</v>
      </c>
    </row>
    <row r="14" spans="1:31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-9.3472255980682646E-4</v>
      </c>
      <c r="G14" s="27"/>
      <c r="H14" s="26"/>
      <c r="I14" s="25"/>
      <c r="Q14" s="19"/>
      <c r="V14" s="162"/>
      <c r="W14" s="162"/>
      <c r="X14" s="166"/>
      <c r="Y14" s="159"/>
      <c r="Z14" s="159"/>
      <c r="AA14" s="159"/>
      <c r="AB14" s="159"/>
      <c r="AC14" s="159"/>
      <c r="AD14" s="159"/>
      <c r="AE14" s="159"/>
    </row>
    <row r="15" spans="1:31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-9.3472255980682646E-4</v>
      </c>
      <c r="G15" s="27"/>
      <c r="H15" s="26"/>
      <c r="I15" s="25"/>
      <c r="P15" s="154">
        <f>N13*182.5/360-$P$1/2</f>
        <v>2.4812170177207623E-4</v>
      </c>
      <c r="Q15" s="75"/>
      <c r="R15" s="74">
        <f>B_(A15,$A$15)</f>
        <v>0</v>
      </c>
      <c r="S15" s="51">
        <f>A_(A15,$A$15,AD1)</f>
        <v>1</v>
      </c>
      <c r="T15" s="32">
        <f>P15*B15/S15*EXP(R15*F15)</f>
        <v>2.4544422048825378E-4</v>
      </c>
      <c r="V15" s="162">
        <f>B_($A$7,A15)</f>
        <v>1.9411822138583761</v>
      </c>
      <c r="W15" s="162">
        <f>A_($A$7,A15,AD1)</f>
        <v>0.9997229722274118</v>
      </c>
      <c r="X15" s="163">
        <f>B15/$B$7*W15*EXP(-V15*F15)</f>
        <v>0.99409898758247783</v>
      </c>
      <c r="Y15" s="32">
        <f>B_(0,2*A7)</f>
        <v>1.9411822138583761</v>
      </c>
      <c r="Z15" s="32">
        <f>SQRT(0.5*$AA$1^2*Y15*V15^2)</f>
        <v>1.9124251980258945E-2</v>
      </c>
      <c r="AA15" s="32">
        <f>LN(B15/($B$7*X15))/Z15+Z15/2</f>
        <v>-7.0827980650717243E-2</v>
      </c>
      <c r="AB15" s="32">
        <f>AA15-Z15</f>
        <v>-8.9952232630976181E-2</v>
      </c>
      <c r="AC15" s="32">
        <f>NORMSDIST(-AA15)</f>
        <v>0.52823266879821418</v>
      </c>
      <c r="AD15" s="32">
        <f>NORMSDIST(-AB15)</f>
        <v>0.53583741314369326</v>
      </c>
      <c r="AE15" s="32">
        <f>$B$7*X15*AD15-B15*AC15</f>
        <v>8.338215489194889E-3</v>
      </c>
    </row>
    <row r="16" spans="1:31" ht="12.5" thickBot="1" x14ac:dyDescent="0.25">
      <c r="A16" s="36">
        <v>3.25</v>
      </c>
      <c r="B16" s="32">
        <v>0.98801300000000003</v>
      </c>
      <c r="C16" s="43"/>
      <c r="E16" s="21"/>
      <c r="R16" s="73"/>
      <c r="S16" s="72" t="s">
        <v>50</v>
      </c>
      <c r="T16" s="71">
        <f>SUM(T9:T15)</f>
        <v>-1.2230129018894753E-12</v>
      </c>
      <c r="U16" s="70" t="s">
        <v>49</v>
      </c>
      <c r="AE16" s="51"/>
    </row>
    <row r="17" ht="12.5" thickTop="1" x14ac:dyDescent="0.2"/>
  </sheetData>
  <mergeCells count="5">
    <mergeCell ref="B1:C1"/>
    <mergeCell ref="V1:X1"/>
    <mergeCell ref="P7:S7"/>
    <mergeCell ref="V7:X7"/>
    <mergeCell ref="AD1:AE1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/>
  <dimension ref="A1:AG18"/>
  <sheetViews>
    <sheetView showGridLines="0" workbookViewId="0"/>
  </sheetViews>
  <sheetFormatPr defaultRowHeight="12" x14ac:dyDescent="0.2"/>
  <cols>
    <col min="1" max="1" width="5" style="18" customWidth="1"/>
    <col min="2" max="2" width="8.453125" style="18" bestFit="1" customWidth="1"/>
    <col min="3" max="3" width="8.1796875" style="18" hidden="1" customWidth="1"/>
    <col min="4" max="4" width="1.7265625" style="20" hidden="1" customWidth="1"/>
    <col min="5" max="5" width="9.26953125" style="18" hidden="1" customWidth="1"/>
    <col min="6" max="6" width="8.453125" style="43" bestFit="1" customWidth="1"/>
    <col min="7" max="7" width="1.7265625" style="19" hidden="1" customWidth="1"/>
    <col min="8" max="8" width="1.7265625" style="18" hidden="1" customWidth="1"/>
    <col min="9" max="9" width="1.7265625" style="19" hidden="1" customWidth="1"/>
    <col min="10" max="11" width="10" style="43" hidden="1" customWidth="1"/>
    <col min="12" max="12" width="8.54296875" style="18" hidden="1" customWidth="1"/>
    <col min="13" max="13" width="19" style="18" hidden="1" customWidth="1"/>
    <col min="14" max="14" width="7.81640625" style="49" hidden="1" customWidth="1"/>
    <col min="15" max="15" width="16" style="18" hidden="1" customWidth="1"/>
    <col min="16" max="16" width="9.81640625" style="18" hidden="1" customWidth="1"/>
    <col min="17" max="17" width="8.54296875" style="18" hidden="1" customWidth="1"/>
    <col min="18" max="19" width="8.1796875" style="18" hidden="1" customWidth="1"/>
    <col min="20" max="20" width="8.7265625" style="43" hidden="1" customWidth="1"/>
    <col min="21" max="21" width="22.81640625" style="18" hidden="1" customWidth="1"/>
    <col min="22" max="22" width="7" style="18" bestFit="1" customWidth="1"/>
    <col min="23" max="23" width="6.7265625" style="18" hidden="1" customWidth="1"/>
    <col min="24" max="24" width="8.453125" style="18" bestFit="1" customWidth="1"/>
    <col min="25" max="25" width="0.81640625" style="18" customWidth="1"/>
    <col min="26" max="26" width="9.1796875" style="18" customWidth="1"/>
    <col min="27" max="27" width="8.54296875" style="18" customWidth="1"/>
    <col min="28" max="28" width="7.81640625" style="18" customWidth="1"/>
    <col min="29" max="29" width="7.7265625" style="18" customWidth="1"/>
    <col min="30" max="31" width="5.7265625" style="18" customWidth="1"/>
    <col min="32" max="32" width="8.453125" style="18" customWidth="1"/>
    <col min="33" max="33" width="9.81640625" style="18" customWidth="1"/>
    <col min="34" max="256" width="9.1796875" style="18"/>
    <col min="257" max="257" width="5" style="18" customWidth="1"/>
    <col min="258" max="258" width="8.1796875" style="18" customWidth="1"/>
    <col min="259" max="261" width="0" style="18" hidden="1" customWidth="1"/>
    <col min="262" max="262" width="8.1796875" style="18" customWidth="1"/>
    <col min="263" max="277" width="0" style="18" hidden="1" customWidth="1"/>
    <col min="278" max="278" width="6.7265625" style="18" customWidth="1"/>
    <col min="279" max="279" width="0" style="18" hidden="1" customWidth="1"/>
    <col min="280" max="280" width="8.7265625" style="18" customWidth="1"/>
    <col min="281" max="281" width="0.81640625" style="18" customWidth="1"/>
    <col min="282" max="282" width="9.81640625" style="18" customWidth="1"/>
    <col min="283" max="283" width="23.453125" style="18" customWidth="1"/>
    <col min="284" max="284" width="7.81640625" style="18" customWidth="1"/>
    <col min="285" max="285" width="7.7265625" style="18" customWidth="1"/>
    <col min="286" max="287" width="5.7265625" style="18" customWidth="1"/>
    <col min="288" max="288" width="8.453125" style="18" customWidth="1"/>
    <col min="289" max="289" width="16.54296875" style="18" customWidth="1"/>
    <col min="290" max="512" width="9.1796875" style="18"/>
    <col min="513" max="513" width="5" style="18" customWidth="1"/>
    <col min="514" max="514" width="8.1796875" style="18" customWidth="1"/>
    <col min="515" max="517" width="0" style="18" hidden="1" customWidth="1"/>
    <col min="518" max="518" width="8.1796875" style="18" customWidth="1"/>
    <col min="519" max="533" width="0" style="18" hidden="1" customWidth="1"/>
    <col min="534" max="534" width="6.7265625" style="18" customWidth="1"/>
    <col min="535" max="535" width="0" style="18" hidden="1" customWidth="1"/>
    <col min="536" max="536" width="8.7265625" style="18" customWidth="1"/>
    <col min="537" max="537" width="0.81640625" style="18" customWidth="1"/>
    <col min="538" max="538" width="9.81640625" style="18" customWidth="1"/>
    <col min="539" max="539" width="23.453125" style="18" customWidth="1"/>
    <col min="540" max="540" width="7.81640625" style="18" customWidth="1"/>
    <col min="541" max="541" width="7.7265625" style="18" customWidth="1"/>
    <col min="542" max="543" width="5.7265625" style="18" customWidth="1"/>
    <col min="544" max="544" width="8.453125" style="18" customWidth="1"/>
    <col min="545" max="545" width="16.54296875" style="18" customWidth="1"/>
    <col min="546" max="768" width="9.1796875" style="18"/>
    <col min="769" max="769" width="5" style="18" customWidth="1"/>
    <col min="770" max="770" width="8.1796875" style="18" customWidth="1"/>
    <col min="771" max="773" width="0" style="18" hidden="1" customWidth="1"/>
    <col min="774" max="774" width="8.1796875" style="18" customWidth="1"/>
    <col min="775" max="789" width="0" style="18" hidden="1" customWidth="1"/>
    <col min="790" max="790" width="6.7265625" style="18" customWidth="1"/>
    <col min="791" max="791" width="0" style="18" hidden="1" customWidth="1"/>
    <col min="792" max="792" width="8.7265625" style="18" customWidth="1"/>
    <col min="793" max="793" width="0.81640625" style="18" customWidth="1"/>
    <col min="794" max="794" width="9.81640625" style="18" customWidth="1"/>
    <col min="795" max="795" width="23.453125" style="18" customWidth="1"/>
    <col min="796" max="796" width="7.81640625" style="18" customWidth="1"/>
    <col min="797" max="797" width="7.7265625" style="18" customWidth="1"/>
    <col min="798" max="799" width="5.7265625" style="18" customWidth="1"/>
    <col min="800" max="800" width="8.453125" style="18" customWidth="1"/>
    <col min="801" max="801" width="16.54296875" style="18" customWidth="1"/>
    <col min="802" max="1024" width="9.1796875" style="18"/>
    <col min="1025" max="1025" width="5" style="18" customWidth="1"/>
    <col min="1026" max="1026" width="8.1796875" style="18" customWidth="1"/>
    <col min="1027" max="1029" width="0" style="18" hidden="1" customWidth="1"/>
    <col min="1030" max="1030" width="8.1796875" style="18" customWidth="1"/>
    <col min="1031" max="1045" width="0" style="18" hidden="1" customWidth="1"/>
    <col min="1046" max="1046" width="6.7265625" style="18" customWidth="1"/>
    <col min="1047" max="1047" width="0" style="18" hidden="1" customWidth="1"/>
    <col min="1048" max="1048" width="8.7265625" style="18" customWidth="1"/>
    <col min="1049" max="1049" width="0.81640625" style="18" customWidth="1"/>
    <col min="1050" max="1050" width="9.81640625" style="18" customWidth="1"/>
    <col min="1051" max="1051" width="23.453125" style="18" customWidth="1"/>
    <col min="1052" max="1052" width="7.81640625" style="18" customWidth="1"/>
    <col min="1053" max="1053" width="7.7265625" style="18" customWidth="1"/>
    <col min="1054" max="1055" width="5.7265625" style="18" customWidth="1"/>
    <col min="1056" max="1056" width="8.453125" style="18" customWidth="1"/>
    <col min="1057" max="1057" width="16.54296875" style="18" customWidth="1"/>
    <col min="1058" max="1280" width="9.1796875" style="18"/>
    <col min="1281" max="1281" width="5" style="18" customWidth="1"/>
    <col min="1282" max="1282" width="8.1796875" style="18" customWidth="1"/>
    <col min="1283" max="1285" width="0" style="18" hidden="1" customWidth="1"/>
    <col min="1286" max="1286" width="8.1796875" style="18" customWidth="1"/>
    <col min="1287" max="1301" width="0" style="18" hidden="1" customWidth="1"/>
    <col min="1302" max="1302" width="6.7265625" style="18" customWidth="1"/>
    <col min="1303" max="1303" width="0" style="18" hidden="1" customWidth="1"/>
    <col min="1304" max="1304" width="8.7265625" style="18" customWidth="1"/>
    <col min="1305" max="1305" width="0.81640625" style="18" customWidth="1"/>
    <col min="1306" max="1306" width="9.81640625" style="18" customWidth="1"/>
    <col min="1307" max="1307" width="23.453125" style="18" customWidth="1"/>
    <col min="1308" max="1308" width="7.81640625" style="18" customWidth="1"/>
    <col min="1309" max="1309" width="7.7265625" style="18" customWidth="1"/>
    <col min="1310" max="1311" width="5.7265625" style="18" customWidth="1"/>
    <col min="1312" max="1312" width="8.453125" style="18" customWidth="1"/>
    <col min="1313" max="1313" width="16.54296875" style="18" customWidth="1"/>
    <col min="1314" max="1536" width="9.1796875" style="18"/>
    <col min="1537" max="1537" width="5" style="18" customWidth="1"/>
    <col min="1538" max="1538" width="8.1796875" style="18" customWidth="1"/>
    <col min="1539" max="1541" width="0" style="18" hidden="1" customWidth="1"/>
    <col min="1542" max="1542" width="8.1796875" style="18" customWidth="1"/>
    <col min="1543" max="1557" width="0" style="18" hidden="1" customWidth="1"/>
    <col min="1558" max="1558" width="6.7265625" style="18" customWidth="1"/>
    <col min="1559" max="1559" width="0" style="18" hidden="1" customWidth="1"/>
    <col min="1560" max="1560" width="8.7265625" style="18" customWidth="1"/>
    <col min="1561" max="1561" width="0.81640625" style="18" customWidth="1"/>
    <col min="1562" max="1562" width="9.81640625" style="18" customWidth="1"/>
    <col min="1563" max="1563" width="23.453125" style="18" customWidth="1"/>
    <col min="1564" max="1564" width="7.81640625" style="18" customWidth="1"/>
    <col min="1565" max="1565" width="7.7265625" style="18" customWidth="1"/>
    <col min="1566" max="1567" width="5.7265625" style="18" customWidth="1"/>
    <col min="1568" max="1568" width="8.453125" style="18" customWidth="1"/>
    <col min="1569" max="1569" width="16.54296875" style="18" customWidth="1"/>
    <col min="1570" max="1792" width="9.1796875" style="18"/>
    <col min="1793" max="1793" width="5" style="18" customWidth="1"/>
    <col min="1794" max="1794" width="8.1796875" style="18" customWidth="1"/>
    <col min="1795" max="1797" width="0" style="18" hidden="1" customWidth="1"/>
    <col min="1798" max="1798" width="8.1796875" style="18" customWidth="1"/>
    <col min="1799" max="1813" width="0" style="18" hidden="1" customWidth="1"/>
    <col min="1814" max="1814" width="6.7265625" style="18" customWidth="1"/>
    <col min="1815" max="1815" width="0" style="18" hidden="1" customWidth="1"/>
    <col min="1816" max="1816" width="8.7265625" style="18" customWidth="1"/>
    <col min="1817" max="1817" width="0.81640625" style="18" customWidth="1"/>
    <col min="1818" max="1818" width="9.81640625" style="18" customWidth="1"/>
    <col min="1819" max="1819" width="23.453125" style="18" customWidth="1"/>
    <col min="1820" max="1820" width="7.81640625" style="18" customWidth="1"/>
    <col min="1821" max="1821" width="7.7265625" style="18" customWidth="1"/>
    <col min="1822" max="1823" width="5.7265625" style="18" customWidth="1"/>
    <col min="1824" max="1824" width="8.453125" style="18" customWidth="1"/>
    <col min="1825" max="1825" width="16.54296875" style="18" customWidth="1"/>
    <col min="1826" max="2048" width="9.1796875" style="18"/>
    <col min="2049" max="2049" width="5" style="18" customWidth="1"/>
    <col min="2050" max="2050" width="8.1796875" style="18" customWidth="1"/>
    <col min="2051" max="2053" width="0" style="18" hidden="1" customWidth="1"/>
    <col min="2054" max="2054" width="8.1796875" style="18" customWidth="1"/>
    <col min="2055" max="2069" width="0" style="18" hidden="1" customWidth="1"/>
    <col min="2070" max="2070" width="6.7265625" style="18" customWidth="1"/>
    <col min="2071" max="2071" width="0" style="18" hidden="1" customWidth="1"/>
    <col min="2072" max="2072" width="8.7265625" style="18" customWidth="1"/>
    <col min="2073" max="2073" width="0.81640625" style="18" customWidth="1"/>
    <col min="2074" max="2074" width="9.81640625" style="18" customWidth="1"/>
    <col min="2075" max="2075" width="23.453125" style="18" customWidth="1"/>
    <col min="2076" max="2076" width="7.81640625" style="18" customWidth="1"/>
    <col min="2077" max="2077" width="7.7265625" style="18" customWidth="1"/>
    <col min="2078" max="2079" width="5.7265625" style="18" customWidth="1"/>
    <col min="2080" max="2080" width="8.453125" style="18" customWidth="1"/>
    <col min="2081" max="2081" width="16.54296875" style="18" customWidth="1"/>
    <col min="2082" max="2304" width="9.1796875" style="18"/>
    <col min="2305" max="2305" width="5" style="18" customWidth="1"/>
    <col min="2306" max="2306" width="8.1796875" style="18" customWidth="1"/>
    <col min="2307" max="2309" width="0" style="18" hidden="1" customWidth="1"/>
    <col min="2310" max="2310" width="8.1796875" style="18" customWidth="1"/>
    <col min="2311" max="2325" width="0" style="18" hidden="1" customWidth="1"/>
    <col min="2326" max="2326" width="6.7265625" style="18" customWidth="1"/>
    <col min="2327" max="2327" width="0" style="18" hidden="1" customWidth="1"/>
    <col min="2328" max="2328" width="8.7265625" style="18" customWidth="1"/>
    <col min="2329" max="2329" width="0.81640625" style="18" customWidth="1"/>
    <col min="2330" max="2330" width="9.81640625" style="18" customWidth="1"/>
    <col min="2331" max="2331" width="23.453125" style="18" customWidth="1"/>
    <col min="2332" max="2332" width="7.81640625" style="18" customWidth="1"/>
    <col min="2333" max="2333" width="7.7265625" style="18" customWidth="1"/>
    <col min="2334" max="2335" width="5.7265625" style="18" customWidth="1"/>
    <col min="2336" max="2336" width="8.453125" style="18" customWidth="1"/>
    <col min="2337" max="2337" width="16.54296875" style="18" customWidth="1"/>
    <col min="2338" max="2560" width="9.1796875" style="18"/>
    <col min="2561" max="2561" width="5" style="18" customWidth="1"/>
    <col min="2562" max="2562" width="8.1796875" style="18" customWidth="1"/>
    <col min="2563" max="2565" width="0" style="18" hidden="1" customWidth="1"/>
    <col min="2566" max="2566" width="8.1796875" style="18" customWidth="1"/>
    <col min="2567" max="2581" width="0" style="18" hidden="1" customWidth="1"/>
    <col min="2582" max="2582" width="6.7265625" style="18" customWidth="1"/>
    <col min="2583" max="2583" width="0" style="18" hidden="1" customWidth="1"/>
    <col min="2584" max="2584" width="8.7265625" style="18" customWidth="1"/>
    <col min="2585" max="2585" width="0.81640625" style="18" customWidth="1"/>
    <col min="2586" max="2586" width="9.81640625" style="18" customWidth="1"/>
    <col min="2587" max="2587" width="23.453125" style="18" customWidth="1"/>
    <col min="2588" max="2588" width="7.81640625" style="18" customWidth="1"/>
    <col min="2589" max="2589" width="7.7265625" style="18" customWidth="1"/>
    <col min="2590" max="2591" width="5.7265625" style="18" customWidth="1"/>
    <col min="2592" max="2592" width="8.453125" style="18" customWidth="1"/>
    <col min="2593" max="2593" width="16.54296875" style="18" customWidth="1"/>
    <col min="2594" max="2816" width="9.1796875" style="18"/>
    <col min="2817" max="2817" width="5" style="18" customWidth="1"/>
    <col min="2818" max="2818" width="8.1796875" style="18" customWidth="1"/>
    <col min="2819" max="2821" width="0" style="18" hidden="1" customWidth="1"/>
    <col min="2822" max="2822" width="8.1796875" style="18" customWidth="1"/>
    <col min="2823" max="2837" width="0" style="18" hidden="1" customWidth="1"/>
    <col min="2838" max="2838" width="6.7265625" style="18" customWidth="1"/>
    <col min="2839" max="2839" width="0" style="18" hidden="1" customWidth="1"/>
    <col min="2840" max="2840" width="8.7265625" style="18" customWidth="1"/>
    <col min="2841" max="2841" width="0.81640625" style="18" customWidth="1"/>
    <col min="2842" max="2842" width="9.81640625" style="18" customWidth="1"/>
    <col min="2843" max="2843" width="23.453125" style="18" customWidth="1"/>
    <col min="2844" max="2844" width="7.81640625" style="18" customWidth="1"/>
    <col min="2845" max="2845" width="7.7265625" style="18" customWidth="1"/>
    <col min="2846" max="2847" width="5.7265625" style="18" customWidth="1"/>
    <col min="2848" max="2848" width="8.453125" style="18" customWidth="1"/>
    <col min="2849" max="2849" width="16.54296875" style="18" customWidth="1"/>
    <col min="2850" max="3072" width="9.1796875" style="18"/>
    <col min="3073" max="3073" width="5" style="18" customWidth="1"/>
    <col min="3074" max="3074" width="8.1796875" style="18" customWidth="1"/>
    <col min="3075" max="3077" width="0" style="18" hidden="1" customWidth="1"/>
    <col min="3078" max="3078" width="8.1796875" style="18" customWidth="1"/>
    <col min="3079" max="3093" width="0" style="18" hidden="1" customWidth="1"/>
    <col min="3094" max="3094" width="6.7265625" style="18" customWidth="1"/>
    <col min="3095" max="3095" width="0" style="18" hidden="1" customWidth="1"/>
    <col min="3096" max="3096" width="8.7265625" style="18" customWidth="1"/>
    <col min="3097" max="3097" width="0.81640625" style="18" customWidth="1"/>
    <col min="3098" max="3098" width="9.81640625" style="18" customWidth="1"/>
    <col min="3099" max="3099" width="23.453125" style="18" customWidth="1"/>
    <col min="3100" max="3100" width="7.81640625" style="18" customWidth="1"/>
    <col min="3101" max="3101" width="7.7265625" style="18" customWidth="1"/>
    <col min="3102" max="3103" width="5.7265625" style="18" customWidth="1"/>
    <col min="3104" max="3104" width="8.453125" style="18" customWidth="1"/>
    <col min="3105" max="3105" width="16.54296875" style="18" customWidth="1"/>
    <col min="3106" max="3328" width="9.1796875" style="18"/>
    <col min="3329" max="3329" width="5" style="18" customWidth="1"/>
    <col min="3330" max="3330" width="8.1796875" style="18" customWidth="1"/>
    <col min="3331" max="3333" width="0" style="18" hidden="1" customWidth="1"/>
    <col min="3334" max="3334" width="8.1796875" style="18" customWidth="1"/>
    <col min="3335" max="3349" width="0" style="18" hidden="1" customWidth="1"/>
    <col min="3350" max="3350" width="6.7265625" style="18" customWidth="1"/>
    <col min="3351" max="3351" width="0" style="18" hidden="1" customWidth="1"/>
    <col min="3352" max="3352" width="8.7265625" style="18" customWidth="1"/>
    <col min="3353" max="3353" width="0.81640625" style="18" customWidth="1"/>
    <col min="3354" max="3354" width="9.81640625" style="18" customWidth="1"/>
    <col min="3355" max="3355" width="23.453125" style="18" customWidth="1"/>
    <col min="3356" max="3356" width="7.81640625" style="18" customWidth="1"/>
    <col min="3357" max="3357" width="7.7265625" style="18" customWidth="1"/>
    <col min="3358" max="3359" width="5.7265625" style="18" customWidth="1"/>
    <col min="3360" max="3360" width="8.453125" style="18" customWidth="1"/>
    <col min="3361" max="3361" width="16.54296875" style="18" customWidth="1"/>
    <col min="3362" max="3584" width="9.1796875" style="18"/>
    <col min="3585" max="3585" width="5" style="18" customWidth="1"/>
    <col min="3586" max="3586" width="8.1796875" style="18" customWidth="1"/>
    <col min="3587" max="3589" width="0" style="18" hidden="1" customWidth="1"/>
    <col min="3590" max="3590" width="8.1796875" style="18" customWidth="1"/>
    <col min="3591" max="3605" width="0" style="18" hidden="1" customWidth="1"/>
    <col min="3606" max="3606" width="6.7265625" style="18" customWidth="1"/>
    <col min="3607" max="3607" width="0" style="18" hidden="1" customWidth="1"/>
    <col min="3608" max="3608" width="8.7265625" style="18" customWidth="1"/>
    <col min="3609" max="3609" width="0.81640625" style="18" customWidth="1"/>
    <col min="3610" max="3610" width="9.81640625" style="18" customWidth="1"/>
    <col min="3611" max="3611" width="23.453125" style="18" customWidth="1"/>
    <col min="3612" max="3612" width="7.81640625" style="18" customWidth="1"/>
    <col min="3613" max="3613" width="7.7265625" style="18" customWidth="1"/>
    <col min="3614" max="3615" width="5.7265625" style="18" customWidth="1"/>
    <col min="3616" max="3616" width="8.453125" style="18" customWidth="1"/>
    <col min="3617" max="3617" width="16.54296875" style="18" customWidth="1"/>
    <col min="3618" max="3840" width="9.1796875" style="18"/>
    <col min="3841" max="3841" width="5" style="18" customWidth="1"/>
    <col min="3842" max="3842" width="8.1796875" style="18" customWidth="1"/>
    <col min="3843" max="3845" width="0" style="18" hidden="1" customWidth="1"/>
    <col min="3846" max="3846" width="8.1796875" style="18" customWidth="1"/>
    <col min="3847" max="3861" width="0" style="18" hidden="1" customWidth="1"/>
    <col min="3862" max="3862" width="6.7265625" style="18" customWidth="1"/>
    <col min="3863" max="3863" width="0" style="18" hidden="1" customWidth="1"/>
    <col min="3864" max="3864" width="8.7265625" style="18" customWidth="1"/>
    <col min="3865" max="3865" width="0.81640625" style="18" customWidth="1"/>
    <col min="3866" max="3866" width="9.81640625" style="18" customWidth="1"/>
    <col min="3867" max="3867" width="23.453125" style="18" customWidth="1"/>
    <col min="3868" max="3868" width="7.81640625" style="18" customWidth="1"/>
    <col min="3869" max="3869" width="7.7265625" style="18" customWidth="1"/>
    <col min="3870" max="3871" width="5.7265625" style="18" customWidth="1"/>
    <col min="3872" max="3872" width="8.453125" style="18" customWidth="1"/>
    <col min="3873" max="3873" width="16.54296875" style="18" customWidth="1"/>
    <col min="3874" max="4096" width="9.1796875" style="18"/>
    <col min="4097" max="4097" width="5" style="18" customWidth="1"/>
    <col min="4098" max="4098" width="8.1796875" style="18" customWidth="1"/>
    <col min="4099" max="4101" width="0" style="18" hidden="1" customWidth="1"/>
    <col min="4102" max="4102" width="8.1796875" style="18" customWidth="1"/>
    <col min="4103" max="4117" width="0" style="18" hidden="1" customWidth="1"/>
    <col min="4118" max="4118" width="6.7265625" style="18" customWidth="1"/>
    <col min="4119" max="4119" width="0" style="18" hidden="1" customWidth="1"/>
    <col min="4120" max="4120" width="8.7265625" style="18" customWidth="1"/>
    <col min="4121" max="4121" width="0.81640625" style="18" customWidth="1"/>
    <col min="4122" max="4122" width="9.81640625" style="18" customWidth="1"/>
    <col min="4123" max="4123" width="23.453125" style="18" customWidth="1"/>
    <col min="4124" max="4124" width="7.81640625" style="18" customWidth="1"/>
    <col min="4125" max="4125" width="7.7265625" style="18" customWidth="1"/>
    <col min="4126" max="4127" width="5.7265625" style="18" customWidth="1"/>
    <col min="4128" max="4128" width="8.453125" style="18" customWidth="1"/>
    <col min="4129" max="4129" width="16.54296875" style="18" customWidth="1"/>
    <col min="4130" max="4352" width="9.1796875" style="18"/>
    <col min="4353" max="4353" width="5" style="18" customWidth="1"/>
    <col min="4354" max="4354" width="8.1796875" style="18" customWidth="1"/>
    <col min="4355" max="4357" width="0" style="18" hidden="1" customWidth="1"/>
    <col min="4358" max="4358" width="8.1796875" style="18" customWidth="1"/>
    <col min="4359" max="4373" width="0" style="18" hidden="1" customWidth="1"/>
    <col min="4374" max="4374" width="6.7265625" style="18" customWidth="1"/>
    <col min="4375" max="4375" width="0" style="18" hidden="1" customWidth="1"/>
    <col min="4376" max="4376" width="8.7265625" style="18" customWidth="1"/>
    <col min="4377" max="4377" width="0.81640625" style="18" customWidth="1"/>
    <col min="4378" max="4378" width="9.81640625" style="18" customWidth="1"/>
    <col min="4379" max="4379" width="23.453125" style="18" customWidth="1"/>
    <col min="4380" max="4380" width="7.81640625" style="18" customWidth="1"/>
    <col min="4381" max="4381" width="7.7265625" style="18" customWidth="1"/>
    <col min="4382" max="4383" width="5.7265625" style="18" customWidth="1"/>
    <col min="4384" max="4384" width="8.453125" style="18" customWidth="1"/>
    <col min="4385" max="4385" width="16.54296875" style="18" customWidth="1"/>
    <col min="4386" max="4608" width="9.1796875" style="18"/>
    <col min="4609" max="4609" width="5" style="18" customWidth="1"/>
    <col min="4610" max="4610" width="8.1796875" style="18" customWidth="1"/>
    <col min="4611" max="4613" width="0" style="18" hidden="1" customWidth="1"/>
    <col min="4614" max="4614" width="8.1796875" style="18" customWidth="1"/>
    <col min="4615" max="4629" width="0" style="18" hidden="1" customWidth="1"/>
    <col min="4630" max="4630" width="6.7265625" style="18" customWidth="1"/>
    <col min="4631" max="4631" width="0" style="18" hidden="1" customWidth="1"/>
    <col min="4632" max="4632" width="8.7265625" style="18" customWidth="1"/>
    <col min="4633" max="4633" width="0.81640625" style="18" customWidth="1"/>
    <col min="4634" max="4634" width="9.81640625" style="18" customWidth="1"/>
    <col min="4635" max="4635" width="23.453125" style="18" customWidth="1"/>
    <col min="4636" max="4636" width="7.81640625" style="18" customWidth="1"/>
    <col min="4637" max="4637" width="7.7265625" style="18" customWidth="1"/>
    <col min="4638" max="4639" width="5.7265625" style="18" customWidth="1"/>
    <col min="4640" max="4640" width="8.453125" style="18" customWidth="1"/>
    <col min="4641" max="4641" width="16.54296875" style="18" customWidth="1"/>
    <col min="4642" max="4864" width="9.1796875" style="18"/>
    <col min="4865" max="4865" width="5" style="18" customWidth="1"/>
    <col min="4866" max="4866" width="8.1796875" style="18" customWidth="1"/>
    <col min="4867" max="4869" width="0" style="18" hidden="1" customWidth="1"/>
    <col min="4870" max="4870" width="8.1796875" style="18" customWidth="1"/>
    <col min="4871" max="4885" width="0" style="18" hidden="1" customWidth="1"/>
    <col min="4886" max="4886" width="6.7265625" style="18" customWidth="1"/>
    <col min="4887" max="4887" width="0" style="18" hidden="1" customWidth="1"/>
    <col min="4888" max="4888" width="8.7265625" style="18" customWidth="1"/>
    <col min="4889" max="4889" width="0.81640625" style="18" customWidth="1"/>
    <col min="4890" max="4890" width="9.81640625" style="18" customWidth="1"/>
    <col min="4891" max="4891" width="23.453125" style="18" customWidth="1"/>
    <col min="4892" max="4892" width="7.81640625" style="18" customWidth="1"/>
    <col min="4893" max="4893" width="7.7265625" style="18" customWidth="1"/>
    <col min="4894" max="4895" width="5.7265625" style="18" customWidth="1"/>
    <col min="4896" max="4896" width="8.453125" style="18" customWidth="1"/>
    <col min="4897" max="4897" width="16.54296875" style="18" customWidth="1"/>
    <col min="4898" max="5120" width="9.1796875" style="18"/>
    <col min="5121" max="5121" width="5" style="18" customWidth="1"/>
    <col min="5122" max="5122" width="8.1796875" style="18" customWidth="1"/>
    <col min="5123" max="5125" width="0" style="18" hidden="1" customWidth="1"/>
    <col min="5126" max="5126" width="8.1796875" style="18" customWidth="1"/>
    <col min="5127" max="5141" width="0" style="18" hidden="1" customWidth="1"/>
    <col min="5142" max="5142" width="6.7265625" style="18" customWidth="1"/>
    <col min="5143" max="5143" width="0" style="18" hidden="1" customWidth="1"/>
    <col min="5144" max="5144" width="8.7265625" style="18" customWidth="1"/>
    <col min="5145" max="5145" width="0.81640625" style="18" customWidth="1"/>
    <col min="5146" max="5146" width="9.81640625" style="18" customWidth="1"/>
    <col min="5147" max="5147" width="23.453125" style="18" customWidth="1"/>
    <col min="5148" max="5148" width="7.81640625" style="18" customWidth="1"/>
    <col min="5149" max="5149" width="7.7265625" style="18" customWidth="1"/>
    <col min="5150" max="5151" width="5.7265625" style="18" customWidth="1"/>
    <col min="5152" max="5152" width="8.453125" style="18" customWidth="1"/>
    <col min="5153" max="5153" width="16.54296875" style="18" customWidth="1"/>
    <col min="5154" max="5376" width="9.1796875" style="18"/>
    <col min="5377" max="5377" width="5" style="18" customWidth="1"/>
    <col min="5378" max="5378" width="8.1796875" style="18" customWidth="1"/>
    <col min="5379" max="5381" width="0" style="18" hidden="1" customWidth="1"/>
    <col min="5382" max="5382" width="8.1796875" style="18" customWidth="1"/>
    <col min="5383" max="5397" width="0" style="18" hidden="1" customWidth="1"/>
    <col min="5398" max="5398" width="6.7265625" style="18" customWidth="1"/>
    <col min="5399" max="5399" width="0" style="18" hidden="1" customWidth="1"/>
    <col min="5400" max="5400" width="8.7265625" style="18" customWidth="1"/>
    <col min="5401" max="5401" width="0.81640625" style="18" customWidth="1"/>
    <col min="5402" max="5402" width="9.81640625" style="18" customWidth="1"/>
    <col min="5403" max="5403" width="23.453125" style="18" customWidth="1"/>
    <col min="5404" max="5404" width="7.81640625" style="18" customWidth="1"/>
    <col min="5405" max="5405" width="7.7265625" style="18" customWidth="1"/>
    <col min="5406" max="5407" width="5.7265625" style="18" customWidth="1"/>
    <col min="5408" max="5408" width="8.453125" style="18" customWidth="1"/>
    <col min="5409" max="5409" width="16.54296875" style="18" customWidth="1"/>
    <col min="5410" max="5632" width="9.1796875" style="18"/>
    <col min="5633" max="5633" width="5" style="18" customWidth="1"/>
    <col min="5634" max="5634" width="8.1796875" style="18" customWidth="1"/>
    <col min="5635" max="5637" width="0" style="18" hidden="1" customWidth="1"/>
    <col min="5638" max="5638" width="8.1796875" style="18" customWidth="1"/>
    <col min="5639" max="5653" width="0" style="18" hidden="1" customWidth="1"/>
    <col min="5654" max="5654" width="6.7265625" style="18" customWidth="1"/>
    <col min="5655" max="5655" width="0" style="18" hidden="1" customWidth="1"/>
    <col min="5656" max="5656" width="8.7265625" style="18" customWidth="1"/>
    <col min="5657" max="5657" width="0.81640625" style="18" customWidth="1"/>
    <col min="5658" max="5658" width="9.81640625" style="18" customWidth="1"/>
    <col min="5659" max="5659" width="23.453125" style="18" customWidth="1"/>
    <col min="5660" max="5660" width="7.81640625" style="18" customWidth="1"/>
    <col min="5661" max="5661" width="7.7265625" style="18" customWidth="1"/>
    <col min="5662" max="5663" width="5.7265625" style="18" customWidth="1"/>
    <col min="5664" max="5664" width="8.453125" style="18" customWidth="1"/>
    <col min="5665" max="5665" width="16.54296875" style="18" customWidth="1"/>
    <col min="5666" max="5888" width="9.1796875" style="18"/>
    <col min="5889" max="5889" width="5" style="18" customWidth="1"/>
    <col min="5890" max="5890" width="8.1796875" style="18" customWidth="1"/>
    <col min="5891" max="5893" width="0" style="18" hidden="1" customWidth="1"/>
    <col min="5894" max="5894" width="8.1796875" style="18" customWidth="1"/>
    <col min="5895" max="5909" width="0" style="18" hidden="1" customWidth="1"/>
    <col min="5910" max="5910" width="6.7265625" style="18" customWidth="1"/>
    <col min="5911" max="5911" width="0" style="18" hidden="1" customWidth="1"/>
    <col min="5912" max="5912" width="8.7265625" style="18" customWidth="1"/>
    <col min="5913" max="5913" width="0.81640625" style="18" customWidth="1"/>
    <col min="5914" max="5914" width="9.81640625" style="18" customWidth="1"/>
    <col min="5915" max="5915" width="23.453125" style="18" customWidth="1"/>
    <col min="5916" max="5916" width="7.81640625" style="18" customWidth="1"/>
    <col min="5917" max="5917" width="7.7265625" style="18" customWidth="1"/>
    <col min="5918" max="5919" width="5.7265625" style="18" customWidth="1"/>
    <col min="5920" max="5920" width="8.453125" style="18" customWidth="1"/>
    <col min="5921" max="5921" width="16.54296875" style="18" customWidth="1"/>
    <col min="5922" max="6144" width="9.1796875" style="18"/>
    <col min="6145" max="6145" width="5" style="18" customWidth="1"/>
    <col min="6146" max="6146" width="8.1796875" style="18" customWidth="1"/>
    <col min="6147" max="6149" width="0" style="18" hidden="1" customWidth="1"/>
    <col min="6150" max="6150" width="8.1796875" style="18" customWidth="1"/>
    <col min="6151" max="6165" width="0" style="18" hidden="1" customWidth="1"/>
    <col min="6166" max="6166" width="6.7265625" style="18" customWidth="1"/>
    <col min="6167" max="6167" width="0" style="18" hidden="1" customWidth="1"/>
    <col min="6168" max="6168" width="8.7265625" style="18" customWidth="1"/>
    <col min="6169" max="6169" width="0.81640625" style="18" customWidth="1"/>
    <col min="6170" max="6170" width="9.81640625" style="18" customWidth="1"/>
    <col min="6171" max="6171" width="23.453125" style="18" customWidth="1"/>
    <col min="6172" max="6172" width="7.81640625" style="18" customWidth="1"/>
    <col min="6173" max="6173" width="7.7265625" style="18" customWidth="1"/>
    <col min="6174" max="6175" width="5.7265625" style="18" customWidth="1"/>
    <col min="6176" max="6176" width="8.453125" style="18" customWidth="1"/>
    <col min="6177" max="6177" width="16.54296875" style="18" customWidth="1"/>
    <col min="6178" max="6400" width="9.1796875" style="18"/>
    <col min="6401" max="6401" width="5" style="18" customWidth="1"/>
    <col min="6402" max="6402" width="8.1796875" style="18" customWidth="1"/>
    <col min="6403" max="6405" width="0" style="18" hidden="1" customWidth="1"/>
    <col min="6406" max="6406" width="8.1796875" style="18" customWidth="1"/>
    <col min="6407" max="6421" width="0" style="18" hidden="1" customWidth="1"/>
    <col min="6422" max="6422" width="6.7265625" style="18" customWidth="1"/>
    <col min="6423" max="6423" width="0" style="18" hidden="1" customWidth="1"/>
    <col min="6424" max="6424" width="8.7265625" style="18" customWidth="1"/>
    <col min="6425" max="6425" width="0.81640625" style="18" customWidth="1"/>
    <col min="6426" max="6426" width="9.81640625" style="18" customWidth="1"/>
    <col min="6427" max="6427" width="23.453125" style="18" customWidth="1"/>
    <col min="6428" max="6428" width="7.81640625" style="18" customWidth="1"/>
    <col min="6429" max="6429" width="7.7265625" style="18" customWidth="1"/>
    <col min="6430" max="6431" width="5.7265625" style="18" customWidth="1"/>
    <col min="6432" max="6432" width="8.453125" style="18" customWidth="1"/>
    <col min="6433" max="6433" width="16.54296875" style="18" customWidth="1"/>
    <col min="6434" max="6656" width="9.1796875" style="18"/>
    <col min="6657" max="6657" width="5" style="18" customWidth="1"/>
    <col min="6658" max="6658" width="8.1796875" style="18" customWidth="1"/>
    <col min="6659" max="6661" width="0" style="18" hidden="1" customWidth="1"/>
    <col min="6662" max="6662" width="8.1796875" style="18" customWidth="1"/>
    <col min="6663" max="6677" width="0" style="18" hidden="1" customWidth="1"/>
    <col min="6678" max="6678" width="6.7265625" style="18" customWidth="1"/>
    <col min="6679" max="6679" width="0" style="18" hidden="1" customWidth="1"/>
    <col min="6680" max="6680" width="8.7265625" style="18" customWidth="1"/>
    <col min="6681" max="6681" width="0.81640625" style="18" customWidth="1"/>
    <col min="6682" max="6682" width="9.81640625" style="18" customWidth="1"/>
    <col min="6683" max="6683" width="23.453125" style="18" customWidth="1"/>
    <col min="6684" max="6684" width="7.81640625" style="18" customWidth="1"/>
    <col min="6685" max="6685" width="7.7265625" style="18" customWidth="1"/>
    <col min="6686" max="6687" width="5.7265625" style="18" customWidth="1"/>
    <col min="6688" max="6688" width="8.453125" style="18" customWidth="1"/>
    <col min="6689" max="6689" width="16.54296875" style="18" customWidth="1"/>
    <col min="6690" max="6912" width="9.1796875" style="18"/>
    <col min="6913" max="6913" width="5" style="18" customWidth="1"/>
    <col min="6914" max="6914" width="8.1796875" style="18" customWidth="1"/>
    <col min="6915" max="6917" width="0" style="18" hidden="1" customWidth="1"/>
    <col min="6918" max="6918" width="8.1796875" style="18" customWidth="1"/>
    <col min="6919" max="6933" width="0" style="18" hidden="1" customWidth="1"/>
    <col min="6934" max="6934" width="6.7265625" style="18" customWidth="1"/>
    <col min="6935" max="6935" width="0" style="18" hidden="1" customWidth="1"/>
    <col min="6936" max="6936" width="8.7265625" style="18" customWidth="1"/>
    <col min="6937" max="6937" width="0.81640625" style="18" customWidth="1"/>
    <col min="6938" max="6938" width="9.81640625" style="18" customWidth="1"/>
    <col min="6939" max="6939" width="23.453125" style="18" customWidth="1"/>
    <col min="6940" max="6940" width="7.81640625" style="18" customWidth="1"/>
    <col min="6941" max="6941" width="7.7265625" style="18" customWidth="1"/>
    <col min="6942" max="6943" width="5.7265625" style="18" customWidth="1"/>
    <col min="6944" max="6944" width="8.453125" style="18" customWidth="1"/>
    <col min="6945" max="6945" width="16.54296875" style="18" customWidth="1"/>
    <col min="6946" max="7168" width="9.1796875" style="18"/>
    <col min="7169" max="7169" width="5" style="18" customWidth="1"/>
    <col min="7170" max="7170" width="8.1796875" style="18" customWidth="1"/>
    <col min="7171" max="7173" width="0" style="18" hidden="1" customWidth="1"/>
    <col min="7174" max="7174" width="8.1796875" style="18" customWidth="1"/>
    <col min="7175" max="7189" width="0" style="18" hidden="1" customWidth="1"/>
    <col min="7190" max="7190" width="6.7265625" style="18" customWidth="1"/>
    <col min="7191" max="7191" width="0" style="18" hidden="1" customWidth="1"/>
    <col min="7192" max="7192" width="8.7265625" style="18" customWidth="1"/>
    <col min="7193" max="7193" width="0.81640625" style="18" customWidth="1"/>
    <col min="7194" max="7194" width="9.81640625" style="18" customWidth="1"/>
    <col min="7195" max="7195" width="23.453125" style="18" customWidth="1"/>
    <col min="7196" max="7196" width="7.81640625" style="18" customWidth="1"/>
    <col min="7197" max="7197" width="7.7265625" style="18" customWidth="1"/>
    <col min="7198" max="7199" width="5.7265625" style="18" customWidth="1"/>
    <col min="7200" max="7200" width="8.453125" style="18" customWidth="1"/>
    <col min="7201" max="7201" width="16.54296875" style="18" customWidth="1"/>
    <col min="7202" max="7424" width="9.1796875" style="18"/>
    <col min="7425" max="7425" width="5" style="18" customWidth="1"/>
    <col min="7426" max="7426" width="8.1796875" style="18" customWidth="1"/>
    <col min="7427" max="7429" width="0" style="18" hidden="1" customWidth="1"/>
    <col min="7430" max="7430" width="8.1796875" style="18" customWidth="1"/>
    <col min="7431" max="7445" width="0" style="18" hidden="1" customWidth="1"/>
    <col min="7446" max="7446" width="6.7265625" style="18" customWidth="1"/>
    <col min="7447" max="7447" width="0" style="18" hidden="1" customWidth="1"/>
    <col min="7448" max="7448" width="8.7265625" style="18" customWidth="1"/>
    <col min="7449" max="7449" width="0.81640625" style="18" customWidth="1"/>
    <col min="7450" max="7450" width="9.81640625" style="18" customWidth="1"/>
    <col min="7451" max="7451" width="23.453125" style="18" customWidth="1"/>
    <col min="7452" max="7452" width="7.81640625" style="18" customWidth="1"/>
    <col min="7453" max="7453" width="7.7265625" style="18" customWidth="1"/>
    <col min="7454" max="7455" width="5.7265625" style="18" customWidth="1"/>
    <col min="7456" max="7456" width="8.453125" style="18" customWidth="1"/>
    <col min="7457" max="7457" width="16.54296875" style="18" customWidth="1"/>
    <col min="7458" max="7680" width="9.1796875" style="18"/>
    <col min="7681" max="7681" width="5" style="18" customWidth="1"/>
    <col min="7682" max="7682" width="8.1796875" style="18" customWidth="1"/>
    <col min="7683" max="7685" width="0" style="18" hidden="1" customWidth="1"/>
    <col min="7686" max="7686" width="8.1796875" style="18" customWidth="1"/>
    <col min="7687" max="7701" width="0" style="18" hidden="1" customWidth="1"/>
    <col min="7702" max="7702" width="6.7265625" style="18" customWidth="1"/>
    <col min="7703" max="7703" width="0" style="18" hidden="1" customWidth="1"/>
    <col min="7704" max="7704" width="8.7265625" style="18" customWidth="1"/>
    <col min="7705" max="7705" width="0.81640625" style="18" customWidth="1"/>
    <col min="7706" max="7706" width="9.81640625" style="18" customWidth="1"/>
    <col min="7707" max="7707" width="23.453125" style="18" customWidth="1"/>
    <col min="7708" max="7708" width="7.81640625" style="18" customWidth="1"/>
    <col min="7709" max="7709" width="7.7265625" style="18" customWidth="1"/>
    <col min="7710" max="7711" width="5.7265625" style="18" customWidth="1"/>
    <col min="7712" max="7712" width="8.453125" style="18" customWidth="1"/>
    <col min="7713" max="7713" width="16.54296875" style="18" customWidth="1"/>
    <col min="7714" max="7936" width="9.1796875" style="18"/>
    <col min="7937" max="7937" width="5" style="18" customWidth="1"/>
    <col min="7938" max="7938" width="8.1796875" style="18" customWidth="1"/>
    <col min="7939" max="7941" width="0" style="18" hidden="1" customWidth="1"/>
    <col min="7942" max="7942" width="8.1796875" style="18" customWidth="1"/>
    <col min="7943" max="7957" width="0" style="18" hidden="1" customWidth="1"/>
    <col min="7958" max="7958" width="6.7265625" style="18" customWidth="1"/>
    <col min="7959" max="7959" width="0" style="18" hidden="1" customWidth="1"/>
    <col min="7960" max="7960" width="8.7265625" style="18" customWidth="1"/>
    <col min="7961" max="7961" width="0.81640625" style="18" customWidth="1"/>
    <col min="7962" max="7962" width="9.81640625" style="18" customWidth="1"/>
    <col min="7963" max="7963" width="23.453125" style="18" customWidth="1"/>
    <col min="7964" max="7964" width="7.81640625" style="18" customWidth="1"/>
    <col min="7965" max="7965" width="7.7265625" style="18" customWidth="1"/>
    <col min="7966" max="7967" width="5.7265625" style="18" customWidth="1"/>
    <col min="7968" max="7968" width="8.453125" style="18" customWidth="1"/>
    <col min="7969" max="7969" width="16.54296875" style="18" customWidth="1"/>
    <col min="7970" max="8192" width="9.1796875" style="18"/>
    <col min="8193" max="8193" width="5" style="18" customWidth="1"/>
    <col min="8194" max="8194" width="8.1796875" style="18" customWidth="1"/>
    <col min="8195" max="8197" width="0" style="18" hidden="1" customWidth="1"/>
    <col min="8198" max="8198" width="8.1796875" style="18" customWidth="1"/>
    <col min="8199" max="8213" width="0" style="18" hidden="1" customWidth="1"/>
    <col min="8214" max="8214" width="6.7265625" style="18" customWidth="1"/>
    <col min="8215" max="8215" width="0" style="18" hidden="1" customWidth="1"/>
    <col min="8216" max="8216" width="8.7265625" style="18" customWidth="1"/>
    <col min="8217" max="8217" width="0.81640625" style="18" customWidth="1"/>
    <col min="8218" max="8218" width="9.81640625" style="18" customWidth="1"/>
    <col min="8219" max="8219" width="23.453125" style="18" customWidth="1"/>
    <col min="8220" max="8220" width="7.81640625" style="18" customWidth="1"/>
    <col min="8221" max="8221" width="7.7265625" style="18" customWidth="1"/>
    <col min="8222" max="8223" width="5.7265625" style="18" customWidth="1"/>
    <col min="8224" max="8224" width="8.453125" style="18" customWidth="1"/>
    <col min="8225" max="8225" width="16.54296875" style="18" customWidth="1"/>
    <col min="8226" max="8448" width="9.1796875" style="18"/>
    <col min="8449" max="8449" width="5" style="18" customWidth="1"/>
    <col min="8450" max="8450" width="8.1796875" style="18" customWidth="1"/>
    <col min="8451" max="8453" width="0" style="18" hidden="1" customWidth="1"/>
    <col min="8454" max="8454" width="8.1796875" style="18" customWidth="1"/>
    <col min="8455" max="8469" width="0" style="18" hidden="1" customWidth="1"/>
    <col min="8470" max="8470" width="6.7265625" style="18" customWidth="1"/>
    <col min="8471" max="8471" width="0" style="18" hidden="1" customWidth="1"/>
    <col min="8472" max="8472" width="8.7265625" style="18" customWidth="1"/>
    <col min="8473" max="8473" width="0.81640625" style="18" customWidth="1"/>
    <col min="8474" max="8474" width="9.81640625" style="18" customWidth="1"/>
    <col min="8475" max="8475" width="23.453125" style="18" customWidth="1"/>
    <col min="8476" max="8476" width="7.81640625" style="18" customWidth="1"/>
    <col min="8477" max="8477" width="7.7265625" style="18" customWidth="1"/>
    <col min="8478" max="8479" width="5.7265625" style="18" customWidth="1"/>
    <col min="8480" max="8480" width="8.453125" style="18" customWidth="1"/>
    <col min="8481" max="8481" width="16.54296875" style="18" customWidth="1"/>
    <col min="8482" max="8704" width="9.1796875" style="18"/>
    <col min="8705" max="8705" width="5" style="18" customWidth="1"/>
    <col min="8706" max="8706" width="8.1796875" style="18" customWidth="1"/>
    <col min="8707" max="8709" width="0" style="18" hidden="1" customWidth="1"/>
    <col min="8710" max="8710" width="8.1796875" style="18" customWidth="1"/>
    <col min="8711" max="8725" width="0" style="18" hidden="1" customWidth="1"/>
    <col min="8726" max="8726" width="6.7265625" style="18" customWidth="1"/>
    <col min="8727" max="8727" width="0" style="18" hidden="1" customWidth="1"/>
    <col min="8728" max="8728" width="8.7265625" style="18" customWidth="1"/>
    <col min="8729" max="8729" width="0.81640625" style="18" customWidth="1"/>
    <col min="8730" max="8730" width="9.81640625" style="18" customWidth="1"/>
    <col min="8731" max="8731" width="23.453125" style="18" customWidth="1"/>
    <col min="8732" max="8732" width="7.81640625" style="18" customWidth="1"/>
    <col min="8733" max="8733" width="7.7265625" style="18" customWidth="1"/>
    <col min="8734" max="8735" width="5.7265625" style="18" customWidth="1"/>
    <col min="8736" max="8736" width="8.453125" style="18" customWidth="1"/>
    <col min="8737" max="8737" width="16.54296875" style="18" customWidth="1"/>
    <col min="8738" max="8960" width="9.1796875" style="18"/>
    <col min="8961" max="8961" width="5" style="18" customWidth="1"/>
    <col min="8962" max="8962" width="8.1796875" style="18" customWidth="1"/>
    <col min="8963" max="8965" width="0" style="18" hidden="1" customWidth="1"/>
    <col min="8966" max="8966" width="8.1796875" style="18" customWidth="1"/>
    <col min="8967" max="8981" width="0" style="18" hidden="1" customWidth="1"/>
    <col min="8982" max="8982" width="6.7265625" style="18" customWidth="1"/>
    <col min="8983" max="8983" width="0" style="18" hidden="1" customWidth="1"/>
    <col min="8984" max="8984" width="8.7265625" style="18" customWidth="1"/>
    <col min="8985" max="8985" width="0.81640625" style="18" customWidth="1"/>
    <col min="8986" max="8986" width="9.81640625" style="18" customWidth="1"/>
    <col min="8987" max="8987" width="23.453125" style="18" customWidth="1"/>
    <col min="8988" max="8988" width="7.81640625" style="18" customWidth="1"/>
    <col min="8989" max="8989" width="7.7265625" style="18" customWidth="1"/>
    <col min="8990" max="8991" width="5.7265625" style="18" customWidth="1"/>
    <col min="8992" max="8992" width="8.453125" style="18" customWidth="1"/>
    <col min="8993" max="8993" width="16.54296875" style="18" customWidth="1"/>
    <col min="8994" max="9216" width="9.1796875" style="18"/>
    <col min="9217" max="9217" width="5" style="18" customWidth="1"/>
    <col min="9218" max="9218" width="8.1796875" style="18" customWidth="1"/>
    <col min="9219" max="9221" width="0" style="18" hidden="1" customWidth="1"/>
    <col min="9222" max="9222" width="8.1796875" style="18" customWidth="1"/>
    <col min="9223" max="9237" width="0" style="18" hidden="1" customWidth="1"/>
    <col min="9238" max="9238" width="6.7265625" style="18" customWidth="1"/>
    <col min="9239" max="9239" width="0" style="18" hidden="1" customWidth="1"/>
    <col min="9240" max="9240" width="8.7265625" style="18" customWidth="1"/>
    <col min="9241" max="9241" width="0.81640625" style="18" customWidth="1"/>
    <col min="9242" max="9242" width="9.81640625" style="18" customWidth="1"/>
    <col min="9243" max="9243" width="23.453125" style="18" customWidth="1"/>
    <col min="9244" max="9244" width="7.81640625" style="18" customWidth="1"/>
    <col min="9245" max="9245" width="7.7265625" style="18" customWidth="1"/>
    <col min="9246" max="9247" width="5.7265625" style="18" customWidth="1"/>
    <col min="9248" max="9248" width="8.453125" style="18" customWidth="1"/>
    <col min="9249" max="9249" width="16.54296875" style="18" customWidth="1"/>
    <col min="9250" max="9472" width="9.1796875" style="18"/>
    <col min="9473" max="9473" width="5" style="18" customWidth="1"/>
    <col min="9474" max="9474" width="8.1796875" style="18" customWidth="1"/>
    <col min="9475" max="9477" width="0" style="18" hidden="1" customWidth="1"/>
    <col min="9478" max="9478" width="8.1796875" style="18" customWidth="1"/>
    <col min="9479" max="9493" width="0" style="18" hidden="1" customWidth="1"/>
    <col min="9494" max="9494" width="6.7265625" style="18" customWidth="1"/>
    <col min="9495" max="9495" width="0" style="18" hidden="1" customWidth="1"/>
    <col min="9496" max="9496" width="8.7265625" style="18" customWidth="1"/>
    <col min="9497" max="9497" width="0.81640625" style="18" customWidth="1"/>
    <col min="9498" max="9498" width="9.81640625" style="18" customWidth="1"/>
    <col min="9499" max="9499" width="23.453125" style="18" customWidth="1"/>
    <col min="9500" max="9500" width="7.81640625" style="18" customWidth="1"/>
    <col min="9501" max="9501" width="7.7265625" style="18" customWidth="1"/>
    <col min="9502" max="9503" width="5.7265625" style="18" customWidth="1"/>
    <col min="9504" max="9504" width="8.453125" style="18" customWidth="1"/>
    <col min="9505" max="9505" width="16.54296875" style="18" customWidth="1"/>
    <col min="9506" max="9728" width="9.1796875" style="18"/>
    <col min="9729" max="9729" width="5" style="18" customWidth="1"/>
    <col min="9730" max="9730" width="8.1796875" style="18" customWidth="1"/>
    <col min="9731" max="9733" width="0" style="18" hidden="1" customWidth="1"/>
    <col min="9734" max="9734" width="8.1796875" style="18" customWidth="1"/>
    <col min="9735" max="9749" width="0" style="18" hidden="1" customWidth="1"/>
    <col min="9750" max="9750" width="6.7265625" style="18" customWidth="1"/>
    <col min="9751" max="9751" width="0" style="18" hidden="1" customWidth="1"/>
    <col min="9752" max="9752" width="8.7265625" style="18" customWidth="1"/>
    <col min="9753" max="9753" width="0.81640625" style="18" customWidth="1"/>
    <col min="9754" max="9754" width="9.81640625" style="18" customWidth="1"/>
    <col min="9755" max="9755" width="23.453125" style="18" customWidth="1"/>
    <col min="9756" max="9756" width="7.81640625" style="18" customWidth="1"/>
    <col min="9757" max="9757" width="7.7265625" style="18" customWidth="1"/>
    <col min="9758" max="9759" width="5.7265625" style="18" customWidth="1"/>
    <col min="9760" max="9760" width="8.453125" style="18" customWidth="1"/>
    <col min="9761" max="9761" width="16.54296875" style="18" customWidth="1"/>
    <col min="9762" max="9984" width="9.1796875" style="18"/>
    <col min="9985" max="9985" width="5" style="18" customWidth="1"/>
    <col min="9986" max="9986" width="8.1796875" style="18" customWidth="1"/>
    <col min="9987" max="9989" width="0" style="18" hidden="1" customWidth="1"/>
    <col min="9990" max="9990" width="8.1796875" style="18" customWidth="1"/>
    <col min="9991" max="10005" width="0" style="18" hidden="1" customWidth="1"/>
    <col min="10006" max="10006" width="6.7265625" style="18" customWidth="1"/>
    <col min="10007" max="10007" width="0" style="18" hidden="1" customWidth="1"/>
    <col min="10008" max="10008" width="8.7265625" style="18" customWidth="1"/>
    <col min="10009" max="10009" width="0.81640625" style="18" customWidth="1"/>
    <col min="10010" max="10010" width="9.81640625" style="18" customWidth="1"/>
    <col min="10011" max="10011" width="23.453125" style="18" customWidth="1"/>
    <col min="10012" max="10012" width="7.81640625" style="18" customWidth="1"/>
    <col min="10013" max="10013" width="7.7265625" style="18" customWidth="1"/>
    <col min="10014" max="10015" width="5.7265625" style="18" customWidth="1"/>
    <col min="10016" max="10016" width="8.453125" style="18" customWidth="1"/>
    <col min="10017" max="10017" width="16.54296875" style="18" customWidth="1"/>
    <col min="10018" max="10240" width="9.1796875" style="18"/>
    <col min="10241" max="10241" width="5" style="18" customWidth="1"/>
    <col min="10242" max="10242" width="8.1796875" style="18" customWidth="1"/>
    <col min="10243" max="10245" width="0" style="18" hidden="1" customWidth="1"/>
    <col min="10246" max="10246" width="8.1796875" style="18" customWidth="1"/>
    <col min="10247" max="10261" width="0" style="18" hidden="1" customWidth="1"/>
    <col min="10262" max="10262" width="6.7265625" style="18" customWidth="1"/>
    <col min="10263" max="10263" width="0" style="18" hidden="1" customWidth="1"/>
    <col min="10264" max="10264" width="8.7265625" style="18" customWidth="1"/>
    <col min="10265" max="10265" width="0.81640625" style="18" customWidth="1"/>
    <col min="10266" max="10266" width="9.81640625" style="18" customWidth="1"/>
    <col min="10267" max="10267" width="23.453125" style="18" customWidth="1"/>
    <col min="10268" max="10268" width="7.81640625" style="18" customWidth="1"/>
    <col min="10269" max="10269" width="7.7265625" style="18" customWidth="1"/>
    <col min="10270" max="10271" width="5.7265625" style="18" customWidth="1"/>
    <col min="10272" max="10272" width="8.453125" style="18" customWidth="1"/>
    <col min="10273" max="10273" width="16.54296875" style="18" customWidth="1"/>
    <col min="10274" max="10496" width="9.1796875" style="18"/>
    <col min="10497" max="10497" width="5" style="18" customWidth="1"/>
    <col min="10498" max="10498" width="8.1796875" style="18" customWidth="1"/>
    <col min="10499" max="10501" width="0" style="18" hidden="1" customWidth="1"/>
    <col min="10502" max="10502" width="8.1796875" style="18" customWidth="1"/>
    <col min="10503" max="10517" width="0" style="18" hidden="1" customWidth="1"/>
    <col min="10518" max="10518" width="6.7265625" style="18" customWidth="1"/>
    <col min="10519" max="10519" width="0" style="18" hidden="1" customWidth="1"/>
    <col min="10520" max="10520" width="8.7265625" style="18" customWidth="1"/>
    <col min="10521" max="10521" width="0.81640625" style="18" customWidth="1"/>
    <col min="10522" max="10522" width="9.81640625" style="18" customWidth="1"/>
    <col min="10523" max="10523" width="23.453125" style="18" customWidth="1"/>
    <col min="10524" max="10524" width="7.81640625" style="18" customWidth="1"/>
    <col min="10525" max="10525" width="7.7265625" style="18" customWidth="1"/>
    <col min="10526" max="10527" width="5.7265625" style="18" customWidth="1"/>
    <col min="10528" max="10528" width="8.453125" style="18" customWidth="1"/>
    <col min="10529" max="10529" width="16.54296875" style="18" customWidth="1"/>
    <col min="10530" max="10752" width="9.1796875" style="18"/>
    <col min="10753" max="10753" width="5" style="18" customWidth="1"/>
    <col min="10754" max="10754" width="8.1796875" style="18" customWidth="1"/>
    <col min="10755" max="10757" width="0" style="18" hidden="1" customWidth="1"/>
    <col min="10758" max="10758" width="8.1796875" style="18" customWidth="1"/>
    <col min="10759" max="10773" width="0" style="18" hidden="1" customWidth="1"/>
    <col min="10774" max="10774" width="6.7265625" style="18" customWidth="1"/>
    <col min="10775" max="10775" width="0" style="18" hidden="1" customWidth="1"/>
    <col min="10776" max="10776" width="8.7265625" style="18" customWidth="1"/>
    <col min="10777" max="10777" width="0.81640625" style="18" customWidth="1"/>
    <col min="10778" max="10778" width="9.81640625" style="18" customWidth="1"/>
    <col min="10779" max="10779" width="23.453125" style="18" customWidth="1"/>
    <col min="10780" max="10780" width="7.81640625" style="18" customWidth="1"/>
    <col min="10781" max="10781" width="7.7265625" style="18" customWidth="1"/>
    <col min="10782" max="10783" width="5.7265625" style="18" customWidth="1"/>
    <col min="10784" max="10784" width="8.453125" style="18" customWidth="1"/>
    <col min="10785" max="10785" width="16.54296875" style="18" customWidth="1"/>
    <col min="10786" max="11008" width="9.1796875" style="18"/>
    <col min="11009" max="11009" width="5" style="18" customWidth="1"/>
    <col min="11010" max="11010" width="8.1796875" style="18" customWidth="1"/>
    <col min="11011" max="11013" width="0" style="18" hidden="1" customWidth="1"/>
    <col min="11014" max="11014" width="8.1796875" style="18" customWidth="1"/>
    <col min="11015" max="11029" width="0" style="18" hidden="1" customWidth="1"/>
    <col min="11030" max="11030" width="6.7265625" style="18" customWidth="1"/>
    <col min="11031" max="11031" width="0" style="18" hidden="1" customWidth="1"/>
    <col min="11032" max="11032" width="8.7265625" style="18" customWidth="1"/>
    <col min="11033" max="11033" width="0.81640625" style="18" customWidth="1"/>
    <col min="11034" max="11034" width="9.81640625" style="18" customWidth="1"/>
    <col min="11035" max="11035" width="23.453125" style="18" customWidth="1"/>
    <col min="11036" max="11036" width="7.81640625" style="18" customWidth="1"/>
    <col min="11037" max="11037" width="7.7265625" style="18" customWidth="1"/>
    <col min="11038" max="11039" width="5.7265625" style="18" customWidth="1"/>
    <col min="11040" max="11040" width="8.453125" style="18" customWidth="1"/>
    <col min="11041" max="11041" width="16.54296875" style="18" customWidth="1"/>
    <col min="11042" max="11264" width="9.1796875" style="18"/>
    <col min="11265" max="11265" width="5" style="18" customWidth="1"/>
    <col min="11266" max="11266" width="8.1796875" style="18" customWidth="1"/>
    <col min="11267" max="11269" width="0" style="18" hidden="1" customWidth="1"/>
    <col min="11270" max="11270" width="8.1796875" style="18" customWidth="1"/>
    <col min="11271" max="11285" width="0" style="18" hidden="1" customWidth="1"/>
    <col min="11286" max="11286" width="6.7265625" style="18" customWidth="1"/>
    <col min="11287" max="11287" width="0" style="18" hidden="1" customWidth="1"/>
    <col min="11288" max="11288" width="8.7265625" style="18" customWidth="1"/>
    <col min="11289" max="11289" width="0.81640625" style="18" customWidth="1"/>
    <col min="11290" max="11290" width="9.81640625" style="18" customWidth="1"/>
    <col min="11291" max="11291" width="23.453125" style="18" customWidth="1"/>
    <col min="11292" max="11292" width="7.81640625" style="18" customWidth="1"/>
    <col min="11293" max="11293" width="7.7265625" style="18" customWidth="1"/>
    <col min="11294" max="11295" width="5.7265625" style="18" customWidth="1"/>
    <col min="11296" max="11296" width="8.453125" style="18" customWidth="1"/>
    <col min="11297" max="11297" width="16.54296875" style="18" customWidth="1"/>
    <col min="11298" max="11520" width="9.1796875" style="18"/>
    <col min="11521" max="11521" width="5" style="18" customWidth="1"/>
    <col min="11522" max="11522" width="8.1796875" style="18" customWidth="1"/>
    <col min="11523" max="11525" width="0" style="18" hidden="1" customWidth="1"/>
    <col min="11526" max="11526" width="8.1796875" style="18" customWidth="1"/>
    <col min="11527" max="11541" width="0" style="18" hidden="1" customWidth="1"/>
    <col min="11542" max="11542" width="6.7265625" style="18" customWidth="1"/>
    <col min="11543" max="11543" width="0" style="18" hidden="1" customWidth="1"/>
    <col min="11544" max="11544" width="8.7265625" style="18" customWidth="1"/>
    <col min="11545" max="11545" width="0.81640625" style="18" customWidth="1"/>
    <col min="11546" max="11546" width="9.81640625" style="18" customWidth="1"/>
    <col min="11547" max="11547" width="23.453125" style="18" customWidth="1"/>
    <col min="11548" max="11548" width="7.81640625" style="18" customWidth="1"/>
    <col min="11549" max="11549" width="7.7265625" style="18" customWidth="1"/>
    <col min="11550" max="11551" width="5.7265625" style="18" customWidth="1"/>
    <col min="11552" max="11552" width="8.453125" style="18" customWidth="1"/>
    <col min="11553" max="11553" width="16.54296875" style="18" customWidth="1"/>
    <col min="11554" max="11776" width="9.1796875" style="18"/>
    <col min="11777" max="11777" width="5" style="18" customWidth="1"/>
    <col min="11778" max="11778" width="8.1796875" style="18" customWidth="1"/>
    <col min="11779" max="11781" width="0" style="18" hidden="1" customWidth="1"/>
    <col min="11782" max="11782" width="8.1796875" style="18" customWidth="1"/>
    <col min="11783" max="11797" width="0" style="18" hidden="1" customWidth="1"/>
    <col min="11798" max="11798" width="6.7265625" style="18" customWidth="1"/>
    <col min="11799" max="11799" width="0" style="18" hidden="1" customWidth="1"/>
    <col min="11800" max="11800" width="8.7265625" style="18" customWidth="1"/>
    <col min="11801" max="11801" width="0.81640625" style="18" customWidth="1"/>
    <col min="11802" max="11802" width="9.81640625" style="18" customWidth="1"/>
    <col min="11803" max="11803" width="23.453125" style="18" customWidth="1"/>
    <col min="11804" max="11804" width="7.81640625" style="18" customWidth="1"/>
    <col min="11805" max="11805" width="7.7265625" style="18" customWidth="1"/>
    <col min="11806" max="11807" width="5.7265625" style="18" customWidth="1"/>
    <col min="11808" max="11808" width="8.453125" style="18" customWidth="1"/>
    <col min="11809" max="11809" width="16.54296875" style="18" customWidth="1"/>
    <col min="11810" max="12032" width="9.1796875" style="18"/>
    <col min="12033" max="12033" width="5" style="18" customWidth="1"/>
    <col min="12034" max="12034" width="8.1796875" style="18" customWidth="1"/>
    <col min="12035" max="12037" width="0" style="18" hidden="1" customWidth="1"/>
    <col min="12038" max="12038" width="8.1796875" style="18" customWidth="1"/>
    <col min="12039" max="12053" width="0" style="18" hidden="1" customWidth="1"/>
    <col min="12054" max="12054" width="6.7265625" style="18" customWidth="1"/>
    <col min="12055" max="12055" width="0" style="18" hidden="1" customWidth="1"/>
    <col min="12056" max="12056" width="8.7265625" style="18" customWidth="1"/>
    <col min="12057" max="12057" width="0.81640625" style="18" customWidth="1"/>
    <col min="12058" max="12058" width="9.81640625" style="18" customWidth="1"/>
    <col min="12059" max="12059" width="23.453125" style="18" customWidth="1"/>
    <col min="12060" max="12060" width="7.81640625" style="18" customWidth="1"/>
    <col min="12061" max="12061" width="7.7265625" style="18" customWidth="1"/>
    <col min="12062" max="12063" width="5.7265625" style="18" customWidth="1"/>
    <col min="12064" max="12064" width="8.453125" style="18" customWidth="1"/>
    <col min="12065" max="12065" width="16.54296875" style="18" customWidth="1"/>
    <col min="12066" max="12288" width="9.1796875" style="18"/>
    <col min="12289" max="12289" width="5" style="18" customWidth="1"/>
    <col min="12290" max="12290" width="8.1796875" style="18" customWidth="1"/>
    <col min="12291" max="12293" width="0" style="18" hidden="1" customWidth="1"/>
    <col min="12294" max="12294" width="8.1796875" style="18" customWidth="1"/>
    <col min="12295" max="12309" width="0" style="18" hidden="1" customWidth="1"/>
    <col min="12310" max="12310" width="6.7265625" style="18" customWidth="1"/>
    <col min="12311" max="12311" width="0" style="18" hidden="1" customWidth="1"/>
    <col min="12312" max="12312" width="8.7265625" style="18" customWidth="1"/>
    <col min="12313" max="12313" width="0.81640625" style="18" customWidth="1"/>
    <col min="12314" max="12314" width="9.81640625" style="18" customWidth="1"/>
    <col min="12315" max="12315" width="23.453125" style="18" customWidth="1"/>
    <col min="12316" max="12316" width="7.81640625" style="18" customWidth="1"/>
    <col min="12317" max="12317" width="7.7265625" style="18" customWidth="1"/>
    <col min="12318" max="12319" width="5.7265625" style="18" customWidth="1"/>
    <col min="12320" max="12320" width="8.453125" style="18" customWidth="1"/>
    <col min="12321" max="12321" width="16.54296875" style="18" customWidth="1"/>
    <col min="12322" max="12544" width="9.1796875" style="18"/>
    <col min="12545" max="12545" width="5" style="18" customWidth="1"/>
    <col min="12546" max="12546" width="8.1796875" style="18" customWidth="1"/>
    <col min="12547" max="12549" width="0" style="18" hidden="1" customWidth="1"/>
    <col min="12550" max="12550" width="8.1796875" style="18" customWidth="1"/>
    <col min="12551" max="12565" width="0" style="18" hidden="1" customWidth="1"/>
    <col min="12566" max="12566" width="6.7265625" style="18" customWidth="1"/>
    <col min="12567" max="12567" width="0" style="18" hidden="1" customWidth="1"/>
    <col min="12568" max="12568" width="8.7265625" style="18" customWidth="1"/>
    <col min="12569" max="12569" width="0.81640625" style="18" customWidth="1"/>
    <col min="12570" max="12570" width="9.81640625" style="18" customWidth="1"/>
    <col min="12571" max="12571" width="23.453125" style="18" customWidth="1"/>
    <col min="12572" max="12572" width="7.81640625" style="18" customWidth="1"/>
    <col min="12573" max="12573" width="7.7265625" style="18" customWidth="1"/>
    <col min="12574" max="12575" width="5.7265625" style="18" customWidth="1"/>
    <col min="12576" max="12576" width="8.453125" style="18" customWidth="1"/>
    <col min="12577" max="12577" width="16.54296875" style="18" customWidth="1"/>
    <col min="12578" max="12800" width="9.1796875" style="18"/>
    <col min="12801" max="12801" width="5" style="18" customWidth="1"/>
    <col min="12802" max="12802" width="8.1796875" style="18" customWidth="1"/>
    <col min="12803" max="12805" width="0" style="18" hidden="1" customWidth="1"/>
    <col min="12806" max="12806" width="8.1796875" style="18" customWidth="1"/>
    <col min="12807" max="12821" width="0" style="18" hidden="1" customWidth="1"/>
    <col min="12822" max="12822" width="6.7265625" style="18" customWidth="1"/>
    <col min="12823" max="12823" width="0" style="18" hidden="1" customWidth="1"/>
    <col min="12824" max="12824" width="8.7265625" style="18" customWidth="1"/>
    <col min="12825" max="12825" width="0.81640625" style="18" customWidth="1"/>
    <col min="12826" max="12826" width="9.81640625" style="18" customWidth="1"/>
    <col min="12827" max="12827" width="23.453125" style="18" customWidth="1"/>
    <col min="12828" max="12828" width="7.81640625" style="18" customWidth="1"/>
    <col min="12829" max="12829" width="7.7265625" style="18" customWidth="1"/>
    <col min="12830" max="12831" width="5.7265625" style="18" customWidth="1"/>
    <col min="12832" max="12832" width="8.453125" style="18" customWidth="1"/>
    <col min="12833" max="12833" width="16.54296875" style="18" customWidth="1"/>
    <col min="12834" max="13056" width="9.1796875" style="18"/>
    <col min="13057" max="13057" width="5" style="18" customWidth="1"/>
    <col min="13058" max="13058" width="8.1796875" style="18" customWidth="1"/>
    <col min="13059" max="13061" width="0" style="18" hidden="1" customWidth="1"/>
    <col min="13062" max="13062" width="8.1796875" style="18" customWidth="1"/>
    <col min="13063" max="13077" width="0" style="18" hidden="1" customWidth="1"/>
    <col min="13078" max="13078" width="6.7265625" style="18" customWidth="1"/>
    <col min="13079" max="13079" width="0" style="18" hidden="1" customWidth="1"/>
    <col min="13080" max="13080" width="8.7265625" style="18" customWidth="1"/>
    <col min="13081" max="13081" width="0.81640625" style="18" customWidth="1"/>
    <col min="13082" max="13082" width="9.81640625" style="18" customWidth="1"/>
    <col min="13083" max="13083" width="23.453125" style="18" customWidth="1"/>
    <col min="13084" max="13084" width="7.81640625" style="18" customWidth="1"/>
    <col min="13085" max="13085" width="7.7265625" style="18" customWidth="1"/>
    <col min="13086" max="13087" width="5.7265625" style="18" customWidth="1"/>
    <col min="13088" max="13088" width="8.453125" style="18" customWidth="1"/>
    <col min="13089" max="13089" width="16.54296875" style="18" customWidth="1"/>
    <col min="13090" max="13312" width="9.1796875" style="18"/>
    <col min="13313" max="13313" width="5" style="18" customWidth="1"/>
    <col min="13314" max="13314" width="8.1796875" style="18" customWidth="1"/>
    <col min="13315" max="13317" width="0" style="18" hidden="1" customWidth="1"/>
    <col min="13318" max="13318" width="8.1796875" style="18" customWidth="1"/>
    <col min="13319" max="13333" width="0" style="18" hidden="1" customWidth="1"/>
    <col min="13334" max="13334" width="6.7265625" style="18" customWidth="1"/>
    <col min="13335" max="13335" width="0" style="18" hidden="1" customWidth="1"/>
    <col min="13336" max="13336" width="8.7265625" style="18" customWidth="1"/>
    <col min="13337" max="13337" width="0.81640625" style="18" customWidth="1"/>
    <col min="13338" max="13338" width="9.81640625" style="18" customWidth="1"/>
    <col min="13339" max="13339" width="23.453125" style="18" customWidth="1"/>
    <col min="13340" max="13340" width="7.81640625" style="18" customWidth="1"/>
    <col min="13341" max="13341" width="7.7265625" style="18" customWidth="1"/>
    <col min="13342" max="13343" width="5.7265625" style="18" customWidth="1"/>
    <col min="13344" max="13344" width="8.453125" style="18" customWidth="1"/>
    <col min="13345" max="13345" width="16.54296875" style="18" customWidth="1"/>
    <col min="13346" max="13568" width="9.1796875" style="18"/>
    <col min="13569" max="13569" width="5" style="18" customWidth="1"/>
    <col min="13570" max="13570" width="8.1796875" style="18" customWidth="1"/>
    <col min="13571" max="13573" width="0" style="18" hidden="1" customWidth="1"/>
    <col min="13574" max="13574" width="8.1796875" style="18" customWidth="1"/>
    <col min="13575" max="13589" width="0" style="18" hidden="1" customWidth="1"/>
    <col min="13590" max="13590" width="6.7265625" style="18" customWidth="1"/>
    <col min="13591" max="13591" width="0" style="18" hidden="1" customWidth="1"/>
    <col min="13592" max="13592" width="8.7265625" style="18" customWidth="1"/>
    <col min="13593" max="13593" width="0.81640625" style="18" customWidth="1"/>
    <col min="13594" max="13594" width="9.81640625" style="18" customWidth="1"/>
    <col min="13595" max="13595" width="23.453125" style="18" customWidth="1"/>
    <col min="13596" max="13596" width="7.81640625" style="18" customWidth="1"/>
    <col min="13597" max="13597" width="7.7265625" style="18" customWidth="1"/>
    <col min="13598" max="13599" width="5.7265625" style="18" customWidth="1"/>
    <col min="13600" max="13600" width="8.453125" style="18" customWidth="1"/>
    <col min="13601" max="13601" width="16.54296875" style="18" customWidth="1"/>
    <col min="13602" max="13824" width="9.1796875" style="18"/>
    <col min="13825" max="13825" width="5" style="18" customWidth="1"/>
    <col min="13826" max="13826" width="8.1796875" style="18" customWidth="1"/>
    <col min="13827" max="13829" width="0" style="18" hidden="1" customWidth="1"/>
    <col min="13830" max="13830" width="8.1796875" style="18" customWidth="1"/>
    <col min="13831" max="13845" width="0" style="18" hidden="1" customWidth="1"/>
    <col min="13846" max="13846" width="6.7265625" style="18" customWidth="1"/>
    <col min="13847" max="13847" width="0" style="18" hidden="1" customWidth="1"/>
    <col min="13848" max="13848" width="8.7265625" style="18" customWidth="1"/>
    <col min="13849" max="13849" width="0.81640625" style="18" customWidth="1"/>
    <col min="13850" max="13850" width="9.81640625" style="18" customWidth="1"/>
    <col min="13851" max="13851" width="23.453125" style="18" customWidth="1"/>
    <col min="13852" max="13852" width="7.81640625" style="18" customWidth="1"/>
    <col min="13853" max="13853" width="7.7265625" style="18" customWidth="1"/>
    <col min="13854" max="13855" width="5.7265625" style="18" customWidth="1"/>
    <col min="13856" max="13856" width="8.453125" style="18" customWidth="1"/>
    <col min="13857" max="13857" width="16.54296875" style="18" customWidth="1"/>
    <col min="13858" max="14080" width="9.1796875" style="18"/>
    <col min="14081" max="14081" width="5" style="18" customWidth="1"/>
    <col min="14082" max="14082" width="8.1796875" style="18" customWidth="1"/>
    <col min="14083" max="14085" width="0" style="18" hidden="1" customWidth="1"/>
    <col min="14086" max="14086" width="8.1796875" style="18" customWidth="1"/>
    <col min="14087" max="14101" width="0" style="18" hidden="1" customWidth="1"/>
    <col min="14102" max="14102" width="6.7265625" style="18" customWidth="1"/>
    <col min="14103" max="14103" width="0" style="18" hidden="1" customWidth="1"/>
    <col min="14104" max="14104" width="8.7265625" style="18" customWidth="1"/>
    <col min="14105" max="14105" width="0.81640625" style="18" customWidth="1"/>
    <col min="14106" max="14106" width="9.81640625" style="18" customWidth="1"/>
    <col min="14107" max="14107" width="23.453125" style="18" customWidth="1"/>
    <col min="14108" max="14108" width="7.81640625" style="18" customWidth="1"/>
    <col min="14109" max="14109" width="7.7265625" style="18" customWidth="1"/>
    <col min="14110" max="14111" width="5.7265625" style="18" customWidth="1"/>
    <col min="14112" max="14112" width="8.453125" style="18" customWidth="1"/>
    <col min="14113" max="14113" width="16.54296875" style="18" customWidth="1"/>
    <col min="14114" max="14336" width="9.1796875" style="18"/>
    <col min="14337" max="14337" width="5" style="18" customWidth="1"/>
    <col min="14338" max="14338" width="8.1796875" style="18" customWidth="1"/>
    <col min="14339" max="14341" width="0" style="18" hidden="1" customWidth="1"/>
    <col min="14342" max="14342" width="8.1796875" style="18" customWidth="1"/>
    <col min="14343" max="14357" width="0" style="18" hidden="1" customWidth="1"/>
    <col min="14358" max="14358" width="6.7265625" style="18" customWidth="1"/>
    <col min="14359" max="14359" width="0" style="18" hidden="1" customWidth="1"/>
    <col min="14360" max="14360" width="8.7265625" style="18" customWidth="1"/>
    <col min="14361" max="14361" width="0.81640625" style="18" customWidth="1"/>
    <col min="14362" max="14362" width="9.81640625" style="18" customWidth="1"/>
    <col min="14363" max="14363" width="23.453125" style="18" customWidth="1"/>
    <col min="14364" max="14364" width="7.81640625" style="18" customWidth="1"/>
    <col min="14365" max="14365" width="7.7265625" style="18" customWidth="1"/>
    <col min="14366" max="14367" width="5.7265625" style="18" customWidth="1"/>
    <col min="14368" max="14368" width="8.453125" style="18" customWidth="1"/>
    <col min="14369" max="14369" width="16.54296875" style="18" customWidth="1"/>
    <col min="14370" max="14592" width="9.1796875" style="18"/>
    <col min="14593" max="14593" width="5" style="18" customWidth="1"/>
    <col min="14594" max="14594" width="8.1796875" style="18" customWidth="1"/>
    <col min="14595" max="14597" width="0" style="18" hidden="1" customWidth="1"/>
    <col min="14598" max="14598" width="8.1796875" style="18" customWidth="1"/>
    <col min="14599" max="14613" width="0" style="18" hidden="1" customWidth="1"/>
    <col min="14614" max="14614" width="6.7265625" style="18" customWidth="1"/>
    <col min="14615" max="14615" width="0" style="18" hidden="1" customWidth="1"/>
    <col min="14616" max="14616" width="8.7265625" style="18" customWidth="1"/>
    <col min="14617" max="14617" width="0.81640625" style="18" customWidth="1"/>
    <col min="14618" max="14618" width="9.81640625" style="18" customWidth="1"/>
    <col min="14619" max="14619" width="23.453125" style="18" customWidth="1"/>
    <col min="14620" max="14620" width="7.81640625" style="18" customWidth="1"/>
    <col min="14621" max="14621" width="7.7265625" style="18" customWidth="1"/>
    <col min="14622" max="14623" width="5.7265625" style="18" customWidth="1"/>
    <col min="14624" max="14624" width="8.453125" style="18" customWidth="1"/>
    <col min="14625" max="14625" width="16.54296875" style="18" customWidth="1"/>
    <col min="14626" max="14848" width="9.1796875" style="18"/>
    <col min="14849" max="14849" width="5" style="18" customWidth="1"/>
    <col min="14850" max="14850" width="8.1796875" style="18" customWidth="1"/>
    <col min="14851" max="14853" width="0" style="18" hidden="1" customWidth="1"/>
    <col min="14854" max="14854" width="8.1796875" style="18" customWidth="1"/>
    <col min="14855" max="14869" width="0" style="18" hidden="1" customWidth="1"/>
    <col min="14870" max="14870" width="6.7265625" style="18" customWidth="1"/>
    <col min="14871" max="14871" width="0" style="18" hidden="1" customWidth="1"/>
    <col min="14872" max="14872" width="8.7265625" style="18" customWidth="1"/>
    <col min="14873" max="14873" width="0.81640625" style="18" customWidth="1"/>
    <col min="14874" max="14874" width="9.81640625" style="18" customWidth="1"/>
    <col min="14875" max="14875" width="23.453125" style="18" customWidth="1"/>
    <col min="14876" max="14876" width="7.81640625" style="18" customWidth="1"/>
    <col min="14877" max="14877" width="7.7265625" style="18" customWidth="1"/>
    <col min="14878" max="14879" width="5.7265625" style="18" customWidth="1"/>
    <col min="14880" max="14880" width="8.453125" style="18" customWidth="1"/>
    <col min="14881" max="14881" width="16.54296875" style="18" customWidth="1"/>
    <col min="14882" max="15104" width="9.1796875" style="18"/>
    <col min="15105" max="15105" width="5" style="18" customWidth="1"/>
    <col min="15106" max="15106" width="8.1796875" style="18" customWidth="1"/>
    <col min="15107" max="15109" width="0" style="18" hidden="1" customWidth="1"/>
    <col min="15110" max="15110" width="8.1796875" style="18" customWidth="1"/>
    <col min="15111" max="15125" width="0" style="18" hidden="1" customWidth="1"/>
    <col min="15126" max="15126" width="6.7265625" style="18" customWidth="1"/>
    <col min="15127" max="15127" width="0" style="18" hidden="1" customWidth="1"/>
    <col min="15128" max="15128" width="8.7265625" style="18" customWidth="1"/>
    <col min="15129" max="15129" width="0.81640625" style="18" customWidth="1"/>
    <col min="15130" max="15130" width="9.81640625" style="18" customWidth="1"/>
    <col min="15131" max="15131" width="23.453125" style="18" customWidth="1"/>
    <col min="15132" max="15132" width="7.81640625" style="18" customWidth="1"/>
    <col min="15133" max="15133" width="7.7265625" style="18" customWidth="1"/>
    <col min="15134" max="15135" width="5.7265625" style="18" customWidth="1"/>
    <col min="15136" max="15136" width="8.453125" style="18" customWidth="1"/>
    <col min="15137" max="15137" width="16.54296875" style="18" customWidth="1"/>
    <col min="15138" max="15360" width="9.1796875" style="18"/>
    <col min="15361" max="15361" width="5" style="18" customWidth="1"/>
    <col min="15362" max="15362" width="8.1796875" style="18" customWidth="1"/>
    <col min="15363" max="15365" width="0" style="18" hidden="1" customWidth="1"/>
    <col min="15366" max="15366" width="8.1796875" style="18" customWidth="1"/>
    <col min="15367" max="15381" width="0" style="18" hidden="1" customWidth="1"/>
    <col min="15382" max="15382" width="6.7265625" style="18" customWidth="1"/>
    <col min="15383" max="15383" width="0" style="18" hidden="1" customWidth="1"/>
    <col min="15384" max="15384" width="8.7265625" style="18" customWidth="1"/>
    <col min="15385" max="15385" width="0.81640625" style="18" customWidth="1"/>
    <col min="15386" max="15386" width="9.81640625" style="18" customWidth="1"/>
    <col min="15387" max="15387" width="23.453125" style="18" customWidth="1"/>
    <col min="15388" max="15388" width="7.81640625" style="18" customWidth="1"/>
    <col min="15389" max="15389" width="7.7265625" style="18" customWidth="1"/>
    <col min="15390" max="15391" width="5.7265625" style="18" customWidth="1"/>
    <col min="15392" max="15392" width="8.453125" style="18" customWidth="1"/>
    <col min="15393" max="15393" width="16.54296875" style="18" customWidth="1"/>
    <col min="15394" max="15616" width="9.1796875" style="18"/>
    <col min="15617" max="15617" width="5" style="18" customWidth="1"/>
    <col min="15618" max="15618" width="8.1796875" style="18" customWidth="1"/>
    <col min="15619" max="15621" width="0" style="18" hidden="1" customWidth="1"/>
    <col min="15622" max="15622" width="8.1796875" style="18" customWidth="1"/>
    <col min="15623" max="15637" width="0" style="18" hidden="1" customWidth="1"/>
    <col min="15638" max="15638" width="6.7265625" style="18" customWidth="1"/>
    <col min="15639" max="15639" width="0" style="18" hidden="1" customWidth="1"/>
    <col min="15640" max="15640" width="8.7265625" style="18" customWidth="1"/>
    <col min="15641" max="15641" width="0.81640625" style="18" customWidth="1"/>
    <col min="15642" max="15642" width="9.81640625" style="18" customWidth="1"/>
    <col min="15643" max="15643" width="23.453125" style="18" customWidth="1"/>
    <col min="15644" max="15644" width="7.81640625" style="18" customWidth="1"/>
    <col min="15645" max="15645" width="7.7265625" style="18" customWidth="1"/>
    <col min="15646" max="15647" width="5.7265625" style="18" customWidth="1"/>
    <col min="15648" max="15648" width="8.453125" style="18" customWidth="1"/>
    <col min="15649" max="15649" width="16.54296875" style="18" customWidth="1"/>
    <col min="15650" max="15872" width="9.1796875" style="18"/>
    <col min="15873" max="15873" width="5" style="18" customWidth="1"/>
    <col min="15874" max="15874" width="8.1796875" style="18" customWidth="1"/>
    <col min="15875" max="15877" width="0" style="18" hidden="1" customWidth="1"/>
    <col min="15878" max="15878" width="8.1796875" style="18" customWidth="1"/>
    <col min="15879" max="15893" width="0" style="18" hidden="1" customWidth="1"/>
    <col min="15894" max="15894" width="6.7265625" style="18" customWidth="1"/>
    <col min="15895" max="15895" width="0" style="18" hidden="1" customWidth="1"/>
    <col min="15896" max="15896" width="8.7265625" style="18" customWidth="1"/>
    <col min="15897" max="15897" width="0.81640625" style="18" customWidth="1"/>
    <col min="15898" max="15898" width="9.81640625" style="18" customWidth="1"/>
    <col min="15899" max="15899" width="23.453125" style="18" customWidth="1"/>
    <col min="15900" max="15900" width="7.81640625" style="18" customWidth="1"/>
    <col min="15901" max="15901" width="7.7265625" style="18" customWidth="1"/>
    <col min="15902" max="15903" width="5.7265625" style="18" customWidth="1"/>
    <col min="15904" max="15904" width="8.453125" style="18" customWidth="1"/>
    <col min="15905" max="15905" width="16.54296875" style="18" customWidth="1"/>
    <col min="15906" max="16128" width="9.1796875" style="18"/>
    <col min="16129" max="16129" width="5" style="18" customWidth="1"/>
    <col min="16130" max="16130" width="8.1796875" style="18" customWidth="1"/>
    <col min="16131" max="16133" width="0" style="18" hidden="1" customWidth="1"/>
    <col min="16134" max="16134" width="8.1796875" style="18" customWidth="1"/>
    <col min="16135" max="16149" width="0" style="18" hidden="1" customWidth="1"/>
    <col min="16150" max="16150" width="6.7265625" style="18" customWidth="1"/>
    <col min="16151" max="16151" width="0" style="18" hidden="1" customWidth="1"/>
    <col min="16152" max="16152" width="8.7265625" style="18" customWidth="1"/>
    <col min="16153" max="16153" width="0.81640625" style="18" customWidth="1"/>
    <col min="16154" max="16154" width="9.81640625" style="18" customWidth="1"/>
    <col min="16155" max="16155" width="23.453125" style="18" customWidth="1"/>
    <col min="16156" max="16156" width="7.81640625" style="18" customWidth="1"/>
    <col min="16157" max="16157" width="7.7265625" style="18" customWidth="1"/>
    <col min="16158" max="16159" width="5.7265625" style="18" customWidth="1"/>
    <col min="16160" max="16160" width="8.453125" style="18" customWidth="1"/>
    <col min="16161" max="16161" width="16.54296875" style="18" customWidth="1"/>
    <col min="16162" max="16384" width="9.1796875" style="18"/>
  </cols>
  <sheetData>
    <row r="1" spans="1:33" x14ac:dyDescent="0.2">
      <c r="A1" s="48"/>
      <c r="B1" s="373" t="s">
        <v>277</v>
      </c>
      <c r="C1" s="373"/>
      <c r="J1" s="43" t="s">
        <v>48</v>
      </c>
      <c r="K1" s="43" t="s">
        <v>47</v>
      </c>
      <c r="O1" s="19"/>
      <c r="P1" s="81">
        <v>3.0000000000000001E-3</v>
      </c>
      <c r="Q1" s="80"/>
      <c r="T1" s="43" t="s">
        <v>258</v>
      </c>
      <c r="V1" s="373" t="s">
        <v>278</v>
      </c>
      <c r="W1" s="373"/>
      <c r="X1" s="373"/>
      <c r="Y1" s="43"/>
      <c r="Z1" s="373" t="s">
        <v>291</v>
      </c>
      <c r="AA1" s="373"/>
      <c r="AC1" s="199" t="s">
        <v>336</v>
      </c>
      <c r="AD1" s="378">
        <v>0.01</v>
      </c>
      <c r="AE1" s="378"/>
      <c r="AF1" s="43" t="s">
        <v>280</v>
      </c>
    </row>
    <row r="2" spans="1:33" ht="12.5" x14ac:dyDescent="0.25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148" t="s">
        <v>253</v>
      </c>
      <c r="Q2" s="67"/>
      <c r="R2" s="46" t="s">
        <v>39</v>
      </c>
      <c r="S2" s="46" t="s">
        <v>38</v>
      </c>
      <c r="T2" s="46" t="s">
        <v>58</v>
      </c>
      <c r="U2" s="67" t="s">
        <v>254</v>
      </c>
      <c r="V2" s="46" t="s">
        <v>261</v>
      </c>
      <c r="W2" s="46" t="s">
        <v>262</v>
      </c>
      <c r="X2" s="46" t="s">
        <v>263</v>
      </c>
      <c r="Y2" s="46"/>
      <c r="Z2" s="46" t="s">
        <v>264</v>
      </c>
      <c r="AA2" s="113" t="s">
        <v>220</v>
      </c>
      <c r="AB2" s="46" t="s">
        <v>265</v>
      </c>
      <c r="AC2" s="46" t="s">
        <v>217</v>
      </c>
      <c r="AD2" s="46" t="s">
        <v>266</v>
      </c>
      <c r="AE2" s="46" t="s">
        <v>267</v>
      </c>
      <c r="AF2" s="46" t="s">
        <v>281</v>
      </c>
      <c r="AG2" s="20"/>
    </row>
    <row r="3" spans="1:33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65">
        <v>-9.3472255980682646E-4</v>
      </c>
      <c r="G3" s="25"/>
      <c r="H3" s="26"/>
      <c r="I3" s="39"/>
      <c r="J3" s="32">
        <f>B_(A3,A5)</f>
        <v>0.49626867989791179</v>
      </c>
      <c r="K3" s="32">
        <f>A_(A3,A5,AD1)</f>
        <v>1</v>
      </c>
      <c r="L3" s="51">
        <f>B5/B3*K3*EXP(-J3*F3)</f>
        <v>0.99874918587312189</v>
      </c>
      <c r="M3" s="63" t="s">
        <v>37</v>
      </c>
      <c r="N3" s="55"/>
      <c r="O3" s="61" t="s">
        <v>36</v>
      </c>
      <c r="Q3" s="21"/>
      <c r="R3" s="51"/>
      <c r="S3" s="150" t="s">
        <v>255</v>
      </c>
      <c r="T3" s="156">
        <f>T16*1000000</f>
        <v>-1.2230129018894753E-6</v>
      </c>
      <c r="U3" s="79"/>
    </row>
    <row r="4" spans="1:33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 t="shared" ref="F4:F15" si="1">$F$3</f>
        <v>-9.3472255980682646E-4</v>
      </c>
      <c r="G4" s="38"/>
      <c r="H4" s="26"/>
      <c r="I4" s="39"/>
      <c r="J4" s="60" t="s">
        <v>35</v>
      </c>
      <c r="K4" s="60" t="s">
        <v>34</v>
      </c>
      <c r="L4" s="51"/>
      <c r="M4" s="59"/>
      <c r="N4" s="152" t="s">
        <v>256</v>
      </c>
      <c r="O4" s="58"/>
      <c r="P4" s="49"/>
      <c r="Q4" s="21"/>
      <c r="R4" s="51"/>
      <c r="S4" s="51"/>
      <c r="T4" s="32"/>
      <c r="U4" s="79"/>
    </row>
    <row r="5" spans="1:33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si="1"/>
        <v>-9.3472255980682646E-4</v>
      </c>
      <c r="G5" s="38"/>
      <c r="H5" s="26"/>
      <c r="I5" s="25"/>
      <c r="J5" s="32">
        <f>B_(A5,A7)</f>
        <v>0.49626867989791179</v>
      </c>
      <c r="K5" s="32">
        <f>A_(A5,A7,AD1)</f>
        <v>0.99998782333126668</v>
      </c>
      <c r="L5" s="51">
        <f>B7/B5*K5*EXP(-J5*F5)</f>
        <v>0.99877416704623323</v>
      </c>
      <c r="M5" s="63" t="s">
        <v>33</v>
      </c>
      <c r="N5" s="152" t="s">
        <v>257</v>
      </c>
      <c r="O5" s="61" t="s">
        <v>32</v>
      </c>
      <c r="P5" s="52"/>
      <c r="Q5" s="75"/>
      <c r="R5" s="51"/>
      <c r="S5" s="51"/>
      <c r="T5" s="32"/>
      <c r="U5" s="79"/>
      <c r="V5" s="167"/>
      <c r="W5" s="167"/>
      <c r="X5" s="167"/>
      <c r="Y5" s="167"/>
      <c r="Z5" s="167"/>
      <c r="AA5" s="167" t="s">
        <v>292</v>
      </c>
      <c r="AB5" s="167"/>
      <c r="AC5" s="167"/>
      <c r="AD5" s="167"/>
      <c r="AE5" s="167"/>
      <c r="AF5" s="167"/>
    </row>
    <row r="6" spans="1:33" ht="12" customHeight="1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-9.3472255980682646E-4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R6" s="153"/>
      <c r="S6" s="153"/>
      <c r="T6" s="32"/>
      <c r="U6" s="79"/>
      <c r="V6" s="194"/>
      <c r="W6" s="195"/>
      <c r="X6" s="196"/>
      <c r="Y6" s="196"/>
      <c r="Z6" s="197"/>
      <c r="AA6" s="197"/>
      <c r="AB6" s="197"/>
      <c r="AC6" s="197"/>
      <c r="AD6" s="197"/>
      <c r="AE6" s="197"/>
      <c r="AF6" s="197"/>
    </row>
    <row r="7" spans="1:33" ht="12" customHeight="1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-9.3472255980682646E-4</v>
      </c>
      <c r="G7" s="30"/>
      <c r="H7" s="26"/>
      <c r="I7" s="30"/>
      <c r="J7" s="32">
        <f>B_(A7,A9)</f>
        <v>0.49626867989791179</v>
      </c>
      <c r="K7" s="32">
        <f>A_(A7,A9,AD1)</f>
        <v>0.99996396677176336</v>
      </c>
      <c r="L7" s="51">
        <f>B9/B7*K7*EXP(-J7*F7)</f>
        <v>0.99867725358208537</v>
      </c>
      <c r="M7" s="30" t="s">
        <v>13</v>
      </c>
      <c r="N7" s="55">
        <f>(1/L7-1)*360/182.5</f>
        <v>2.6127091596229554E-3</v>
      </c>
      <c r="O7" s="30" t="s">
        <v>13</v>
      </c>
      <c r="P7" s="376"/>
      <c r="Q7" s="376"/>
      <c r="R7" s="376"/>
      <c r="S7" s="376"/>
      <c r="T7" s="32"/>
      <c r="U7" s="79"/>
      <c r="V7" s="194"/>
      <c r="W7" s="195"/>
      <c r="X7" s="198"/>
      <c r="Y7" s="198"/>
      <c r="Z7" s="197"/>
      <c r="AA7" s="197"/>
      <c r="AB7" s="197"/>
      <c r="AC7" s="198"/>
      <c r="AD7" s="198"/>
      <c r="AE7" s="198"/>
      <c r="AF7" s="198"/>
    </row>
    <row r="8" spans="1:33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-9.3472255980682646E-4</v>
      </c>
      <c r="G8" s="35"/>
      <c r="H8" s="26"/>
      <c r="I8" s="25"/>
      <c r="L8" s="51"/>
      <c r="M8" s="51"/>
      <c r="N8" s="55"/>
      <c r="O8" s="58"/>
      <c r="Q8" s="153"/>
      <c r="U8" s="19"/>
      <c r="V8" s="199"/>
      <c r="W8" s="199"/>
      <c r="X8" s="199"/>
      <c r="Y8" s="199"/>
      <c r="Z8" s="200"/>
      <c r="AA8" s="200"/>
      <c r="AB8" s="200"/>
      <c r="AC8" s="200"/>
      <c r="AD8" s="200"/>
      <c r="AE8" s="200"/>
      <c r="AF8" s="200"/>
    </row>
    <row r="9" spans="1:33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-9.3472255980682646E-4</v>
      </c>
      <c r="G9" s="35"/>
      <c r="H9" s="26"/>
      <c r="I9" s="25"/>
      <c r="J9" s="32">
        <f>B_(A9,A11)</f>
        <v>0.49626867989791179</v>
      </c>
      <c r="K9" s="32">
        <f>A_(A9,A11,AD1)</f>
        <v>0.99992895558403017</v>
      </c>
      <c r="L9" s="51">
        <f>B11/B9*K9*EXP(-J9*F9)</f>
        <v>0.99871966289358527</v>
      </c>
      <c r="M9" s="51"/>
      <c r="N9" s="55">
        <f>(1/L9-1)*360/182.5</f>
        <v>2.5288342442052942E-3</v>
      </c>
      <c r="O9" s="54"/>
      <c r="P9" s="154">
        <f>N7*182.5/360-$P$1/2</f>
        <v>-1.7550160658002969E-4</v>
      </c>
      <c r="Q9" s="155"/>
      <c r="R9" s="51">
        <f>B_(A9,$A$15)</f>
        <v>1.4667506055633348</v>
      </c>
      <c r="S9" s="51">
        <f>A_(A9,$A$15,AD1)</f>
        <v>0.99968796947748795</v>
      </c>
      <c r="T9" s="32">
        <f>P9*B9/S9*EXP(R9*F9)</f>
        <v>-1.7441614078394835E-4</v>
      </c>
      <c r="U9" s="70" t="s">
        <v>55</v>
      </c>
      <c r="V9" s="162">
        <f>B_($A$7,A9)</f>
        <v>0.49626867989791179</v>
      </c>
      <c r="W9" s="162">
        <f>A_($A$7,A9,AD1)</f>
        <v>0.99996396677176336</v>
      </c>
      <c r="X9" s="163">
        <f>B9/$B$7*W9*EXP(-V9*F9)</f>
        <v>0.99867725358208537</v>
      </c>
      <c r="Y9" s="163"/>
      <c r="Z9" s="168">
        <f>B_(0,2*A7)</f>
        <v>1.9411822138583761</v>
      </c>
      <c r="AA9" s="169">
        <f>SQRT(0.5*$AD$1^2*Z9*V9^2)</f>
        <v>4.8891686810862952E-3</v>
      </c>
      <c r="AB9" s="168">
        <f>LN(B9/($B$7*X9))/AA9+AA9/2</f>
        <v>-8.5063063949899348E-2</v>
      </c>
      <c r="AC9" s="170">
        <f>AB9-AA9</f>
        <v>-8.9952232630985646E-2</v>
      </c>
      <c r="AD9" s="171">
        <f>NORMSDIST(-AB9)</f>
        <v>0.53389437273093521</v>
      </c>
      <c r="AE9" s="171">
        <f>NORMSDIST(-AC9)</f>
        <v>0.53583741314369704</v>
      </c>
      <c r="AF9" s="32">
        <f>$B$7*X9*AE9-B9*AD9</f>
        <v>2.1611934956053958E-3</v>
      </c>
    </row>
    <row r="10" spans="1:33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-9.3472255980682646E-4</v>
      </c>
      <c r="G10" s="27"/>
      <c r="H10" s="26"/>
      <c r="I10" s="25"/>
      <c r="L10" s="51"/>
      <c r="M10" s="51"/>
      <c r="N10" s="57"/>
      <c r="O10" s="56"/>
      <c r="P10" s="76"/>
      <c r="Q10" s="19"/>
      <c r="R10" s="70"/>
      <c r="S10" s="70"/>
      <c r="U10" s="19"/>
      <c r="V10" s="164"/>
      <c r="W10" s="165"/>
      <c r="X10" s="165"/>
      <c r="Y10" s="165"/>
      <c r="Z10" s="172"/>
      <c r="AA10" s="173"/>
      <c r="AB10" s="173"/>
      <c r="AC10" s="174"/>
      <c r="AD10" s="175"/>
      <c r="AE10" s="175"/>
      <c r="AF10" s="173"/>
    </row>
    <row r="11" spans="1:33" ht="16.5" customHeight="1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-9.3472255980682646E-4</v>
      </c>
      <c r="G11" s="27"/>
      <c r="H11" s="26"/>
      <c r="I11" s="25"/>
      <c r="J11" s="32">
        <f>B_(A11,A13)</f>
        <v>0.49626867989791179</v>
      </c>
      <c r="K11" s="32">
        <f>A_(A11,A13,AD1)</f>
        <v>0.99988329717551372</v>
      </c>
      <c r="L11" s="51">
        <f>B13/B11*K11*EXP(-J11*F11)</f>
        <v>0.99835600537935876</v>
      </c>
      <c r="M11" s="51"/>
      <c r="N11" s="55">
        <f>(1/L11-1)*360/182.5</f>
        <v>3.2482884615287152E-3</v>
      </c>
      <c r="O11" s="54"/>
      <c r="P11" s="154">
        <f>N9*182.5/360-$P$1/2</f>
        <v>-2.1802152897926067E-4</v>
      </c>
      <c r="R11" s="51">
        <f>B_(A11,$A$15)</f>
        <v>0.98514888171639492</v>
      </c>
      <c r="S11" s="51">
        <f>A_(A11,$A$15,AD1)</f>
        <v>0.9997229722274118</v>
      </c>
      <c r="T11" s="32">
        <f>P11*B11/S11*EXP(R11*F11)</f>
        <v>-2.164004966436734E-4</v>
      </c>
      <c r="U11" s="70" t="s">
        <v>51</v>
      </c>
      <c r="V11" s="162">
        <f>B_($A$7,A11)</f>
        <v>0.98514888171639492</v>
      </c>
      <c r="W11" s="162">
        <f>A_($A$7,A11,AD1)</f>
        <v>0.99990510042892577</v>
      </c>
      <c r="X11" s="163">
        <f>B11/$B$7*W11*EXP(-V11*F11)</f>
        <v>0.99740386690577443</v>
      </c>
      <c r="Y11" s="163"/>
      <c r="Z11" s="168">
        <f>B_(0,2*A7)</f>
        <v>1.9411822138583761</v>
      </c>
      <c r="AA11" s="169">
        <f>SQRT(0.5*$AD$1^2*Z11*V11^2)</f>
        <v>9.7055471235577614E-3</v>
      </c>
      <c r="AB11" s="168">
        <f>LN(B11/($B$7*X11))/AA11+AA11/2</f>
        <v>-8.0246685507433219E-2</v>
      </c>
      <c r="AC11" s="170">
        <f>AB11-AA11</f>
        <v>-8.9952232630990975E-2</v>
      </c>
      <c r="AD11" s="171">
        <f>NORMSDIST(-AB11)</f>
        <v>0.5319794699047401</v>
      </c>
      <c r="AE11" s="171">
        <f>NORMSDIST(-AC11)</f>
        <v>0.53583741314369915</v>
      </c>
      <c r="AF11" s="32">
        <f>$B$7*X11*AE11-B11*AD11</f>
        <v>4.2714663838719913E-3</v>
      </c>
    </row>
    <row r="12" spans="1:33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-9.3472255980682646E-4</v>
      </c>
      <c r="G12" s="27"/>
      <c r="H12" s="26"/>
      <c r="I12" s="25"/>
      <c r="L12" s="51"/>
      <c r="M12" s="51"/>
      <c r="P12" s="75"/>
      <c r="Q12" s="19"/>
      <c r="U12" s="19"/>
      <c r="V12" s="164"/>
      <c r="W12" s="165"/>
      <c r="X12" s="165"/>
      <c r="Y12" s="165"/>
      <c r="Z12" s="172"/>
      <c r="AA12" s="173"/>
      <c r="AB12" s="173"/>
      <c r="AC12" s="174"/>
      <c r="AD12" s="175"/>
      <c r="AE12" s="175"/>
      <c r="AF12" s="173"/>
    </row>
    <row r="13" spans="1:33" ht="16.5" customHeight="1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-9.3472255980682646E-4</v>
      </c>
      <c r="G13" s="27"/>
      <c r="H13" s="26"/>
      <c r="I13" s="25"/>
      <c r="J13" s="32">
        <f>B_(A13,A15)</f>
        <v>0.49626867989791179</v>
      </c>
      <c r="K13" s="32">
        <f>A_(A13,A15,AD1)</f>
        <v>0.99982748162305835</v>
      </c>
      <c r="L13" s="51">
        <f>B15/B13*K13*EXP(-J13*F13)</f>
        <v>0.99825492889489797</v>
      </c>
      <c r="M13" s="51"/>
      <c r="N13" s="55">
        <f>(1/L13-1)*360/182.5</f>
        <v>3.4483496582901232E-3</v>
      </c>
      <c r="O13" s="54"/>
      <c r="P13" s="154">
        <f>N11*182.5/360-$P$1/2</f>
        <v>1.4670178952497356E-4</v>
      </c>
      <c r="Q13" s="30"/>
      <c r="R13" s="51">
        <f>B_(A13,$A$15)</f>
        <v>0.49626867989791179</v>
      </c>
      <c r="S13" s="51">
        <f>A_(A13,$A$15,AD1)</f>
        <v>0.99982748162305835</v>
      </c>
      <c r="T13" s="32">
        <f>P13*B13/S13*EXP(R13*F13)</f>
        <v>1.4537241571635506E-4</v>
      </c>
      <c r="U13" s="30" t="s">
        <v>13</v>
      </c>
      <c r="V13" s="162">
        <f>B_($A$7,A13)</f>
        <v>1.4667506055633348</v>
      </c>
      <c r="W13" s="162">
        <f>A_($A$7,A13,AD1)</f>
        <v>0.99982443558157141</v>
      </c>
      <c r="X13" s="163">
        <f>B13/$B$7*W13*EXP(-V13*F13)</f>
        <v>0.99578637034206996</v>
      </c>
      <c r="Y13" s="163"/>
      <c r="Z13" s="168">
        <f>B_(0,2*A7)</f>
        <v>1.9411822138583761</v>
      </c>
      <c r="AA13" s="169">
        <f>SQRT(0.5*$AD$1^2*Z13*V13^2)</f>
        <v>1.4450219032883179E-2</v>
      </c>
      <c r="AB13" s="168">
        <f>LN(B13/($B$7*X13))/AA13+AA13/2</f>
        <v>-7.5502013598093373E-2</v>
      </c>
      <c r="AC13" s="170">
        <f>AB13-AA13</f>
        <v>-8.9952232630976556E-2</v>
      </c>
      <c r="AD13" s="171">
        <f>NORMSDIST(-AB13)</f>
        <v>0.53009235225395934</v>
      </c>
      <c r="AE13" s="171">
        <f>NORMSDIST(-AC13)</f>
        <v>0.53583741314369338</v>
      </c>
      <c r="AF13" s="32">
        <f>$B$7*X13*AE13-B13*AD13</f>
        <v>6.329973020045343E-3</v>
      </c>
    </row>
    <row r="14" spans="1:33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-9.3472255980682646E-4</v>
      </c>
      <c r="G14" s="27"/>
      <c r="H14" s="26"/>
      <c r="I14" s="25"/>
      <c r="Q14" s="19"/>
      <c r="V14" s="162"/>
      <c r="W14" s="162"/>
      <c r="X14" s="166"/>
      <c r="Y14" s="166"/>
      <c r="Z14" s="176"/>
      <c r="AA14" s="177"/>
      <c r="AB14" s="178"/>
      <c r="AC14" s="174"/>
      <c r="AD14" s="175"/>
      <c r="AE14" s="175"/>
      <c r="AF14" s="159"/>
    </row>
    <row r="15" spans="1:33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-9.3472255980682646E-4</v>
      </c>
      <c r="G15" s="27"/>
      <c r="H15" s="26"/>
      <c r="I15" s="25"/>
      <c r="P15" s="154">
        <f>N13*182.5/360-$P$1/2</f>
        <v>2.4812170177207623E-4</v>
      </c>
      <c r="Q15" s="75"/>
      <c r="R15" s="74">
        <f>B_(A15,$A$15)</f>
        <v>0</v>
      </c>
      <c r="S15" s="51">
        <f>A_(A15,$A$15,AD1)</f>
        <v>1</v>
      </c>
      <c r="T15" s="32">
        <f>P15*B15/S15*EXP(R15*F15)</f>
        <v>2.4544422048825378E-4</v>
      </c>
      <c r="V15" s="162">
        <f>B_($A$7,A15)</f>
        <v>1.9411822138583761</v>
      </c>
      <c r="W15" s="162">
        <f>A_($A$7,A15,AD1)</f>
        <v>0.9997229722274118</v>
      </c>
      <c r="X15" s="163">
        <f>B15/$B$7*W15*EXP(-V15*F15)</f>
        <v>0.99409898758247783</v>
      </c>
      <c r="Y15" s="163"/>
      <c r="Z15" s="168">
        <f>B_(0,2*A7)</f>
        <v>1.9411822138583761</v>
      </c>
      <c r="AA15" s="169">
        <f>SQRT(0.5*$AD$1^2*Z15*V15^2)</f>
        <v>1.9124251980258945E-2</v>
      </c>
      <c r="AB15" s="168">
        <f>LN(B15/($B$7*X15))/AA15+AA15/2</f>
        <v>-7.0827980650717243E-2</v>
      </c>
      <c r="AC15" s="170">
        <f>AB15-AA15</f>
        <v>-8.9952232630976181E-2</v>
      </c>
      <c r="AD15" s="171">
        <f>NORMSDIST(-AB15)</f>
        <v>0.52823266879821418</v>
      </c>
      <c r="AE15" s="171">
        <f>NORMSDIST(-AC15)</f>
        <v>0.53583741314369326</v>
      </c>
      <c r="AF15" s="32">
        <f>$B$7*X15*AE15-B15*AD15</f>
        <v>8.338215489194889E-3</v>
      </c>
      <c r="AG15" s="51"/>
    </row>
    <row r="16" spans="1:33" x14ac:dyDescent="0.2">
      <c r="A16" s="187">
        <v>3.25</v>
      </c>
      <c r="B16" s="100">
        <v>0.98801300000000003</v>
      </c>
      <c r="C16" s="46"/>
      <c r="D16" s="67"/>
      <c r="E16" s="188"/>
      <c r="F16" s="46"/>
      <c r="G16" s="99"/>
      <c r="H16" s="167"/>
      <c r="I16" s="99"/>
      <c r="J16" s="46"/>
      <c r="K16" s="46"/>
      <c r="L16" s="167"/>
      <c r="M16" s="167"/>
      <c r="N16" s="68"/>
      <c r="O16" s="167"/>
      <c r="P16" s="167"/>
      <c r="Q16" s="167"/>
      <c r="R16" s="189"/>
      <c r="S16" s="190" t="s">
        <v>50</v>
      </c>
      <c r="T16" s="191">
        <f>SUM(T9:T15)</f>
        <v>-1.2230129018894753E-12</v>
      </c>
      <c r="U16" s="192" t="s">
        <v>49</v>
      </c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93"/>
    </row>
    <row r="17" spans="29:32" ht="12.5" thickBot="1" x14ac:dyDescent="0.25">
      <c r="AE17" s="49" t="s">
        <v>282</v>
      </c>
      <c r="AF17" s="186">
        <f>AF15+P1*0.5*SUM(AF9:AF15)</f>
        <v>8.3698667617779655E-3</v>
      </c>
    </row>
    <row r="18" spans="29:32" ht="12.5" thickTop="1" x14ac:dyDescent="0.2">
      <c r="AC18" s="43"/>
      <c r="AF18" s="185" t="s">
        <v>290</v>
      </c>
    </row>
  </sheetData>
  <mergeCells count="5">
    <mergeCell ref="B1:C1"/>
    <mergeCell ref="V1:X1"/>
    <mergeCell ref="AD1:AE1"/>
    <mergeCell ref="P7:S7"/>
    <mergeCell ref="Z1:AA1"/>
  </mergeCells>
  <phoneticPr fontId="3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/>
  <dimension ref="A1:V17"/>
  <sheetViews>
    <sheetView workbookViewId="0">
      <selection activeCell="T49" sqref="T49"/>
    </sheetView>
  </sheetViews>
  <sheetFormatPr defaultRowHeight="12" x14ac:dyDescent="0.2"/>
  <cols>
    <col min="1" max="1" width="5" style="18" customWidth="1"/>
    <col min="2" max="3" width="8.1796875" style="18" customWidth="1"/>
    <col min="4" max="4" width="1.7265625" style="20" hidden="1" customWidth="1"/>
    <col min="5" max="5" width="9.26953125" style="18" hidden="1" customWidth="1"/>
    <col min="6" max="6" width="8.1796875" style="43" customWidth="1"/>
    <col min="7" max="7" width="1.7265625" style="19" customWidth="1"/>
    <col min="8" max="8" width="1.7265625" style="18" customWidth="1"/>
    <col min="9" max="9" width="1.7265625" style="19" customWidth="1"/>
    <col min="10" max="11" width="10" style="43" customWidth="1"/>
    <col min="12" max="12" width="8.54296875" style="18" customWidth="1"/>
    <col min="13" max="13" width="19" style="18" customWidth="1"/>
    <col min="14" max="14" width="7.81640625" style="49" customWidth="1"/>
    <col min="15" max="15" width="16" style="18" hidden="1" customWidth="1"/>
    <col min="16" max="16" width="9.81640625" style="18" customWidth="1"/>
    <col min="17" max="17" width="8.54296875" style="18" hidden="1" customWidth="1"/>
    <col min="18" max="19" width="8.1796875" style="18" customWidth="1"/>
    <col min="20" max="20" width="8.7265625" style="43" customWidth="1"/>
    <col min="21" max="21" width="22.81640625" style="18" hidden="1" customWidth="1"/>
    <col min="22" max="256" width="9" style="18"/>
    <col min="257" max="257" width="5" style="18" customWidth="1"/>
    <col min="258" max="259" width="8.1796875" style="18" customWidth="1"/>
    <col min="260" max="261" width="0" style="18" hidden="1" customWidth="1"/>
    <col min="262" max="262" width="8.1796875" style="18" customWidth="1"/>
    <col min="263" max="269" width="0" style="18" hidden="1" customWidth="1"/>
    <col min="270" max="270" width="7.81640625" style="18" customWidth="1"/>
    <col min="271" max="271" width="0" style="18" hidden="1" customWidth="1"/>
    <col min="272" max="272" width="9.81640625" style="18" customWidth="1"/>
    <col min="273" max="273" width="0" style="18" hidden="1" customWidth="1"/>
    <col min="274" max="275" width="8.1796875" style="18" customWidth="1"/>
    <col min="276" max="276" width="8.7265625" style="18" customWidth="1"/>
    <col min="277" max="277" width="0" style="18" hidden="1" customWidth="1"/>
    <col min="278" max="512" width="9" style="18"/>
    <col min="513" max="513" width="5" style="18" customWidth="1"/>
    <col min="514" max="515" width="8.1796875" style="18" customWidth="1"/>
    <col min="516" max="517" width="0" style="18" hidden="1" customWidth="1"/>
    <col min="518" max="518" width="8.1796875" style="18" customWidth="1"/>
    <col min="519" max="525" width="0" style="18" hidden="1" customWidth="1"/>
    <col min="526" max="526" width="7.81640625" style="18" customWidth="1"/>
    <col min="527" max="527" width="0" style="18" hidden="1" customWidth="1"/>
    <col min="528" max="528" width="9.81640625" style="18" customWidth="1"/>
    <col min="529" max="529" width="0" style="18" hidden="1" customWidth="1"/>
    <col min="530" max="531" width="8.1796875" style="18" customWidth="1"/>
    <col min="532" max="532" width="8.7265625" style="18" customWidth="1"/>
    <col min="533" max="533" width="0" style="18" hidden="1" customWidth="1"/>
    <col min="534" max="768" width="9" style="18"/>
    <col min="769" max="769" width="5" style="18" customWidth="1"/>
    <col min="770" max="771" width="8.1796875" style="18" customWidth="1"/>
    <col min="772" max="773" width="0" style="18" hidden="1" customWidth="1"/>
    <col min="774" max="774" width="8.1796875" style="18" customWidth="1"/>
    <col min="775" max="781" width="0" style="18" hidden="1" customWidth="1"/>
    <col min="782" max="782" width="7.81640625" style="18" customWidth="1"/>
    <col min="783" max="783" width="0" style="18" hidden="1" customWidth="1"/>
    <col min="784" max="784" width="9.81640625" style="18" customWidth="1"/>
    <col min="785" max="785" width="0" style="18" hidden="1" customWidth="1"/>
    <col min="786" max="787" width="8.1796875" style="18" customWidth="1"/>
    <col min="788" max="788" width="8.7265625" style="18" customWidth="1"/>
    <col min="789" max="789" width="0" style="18" hidden="1" customWidth="1"/>
    <col min="790" max="1024" width="9" style="18"/>
    <col min="1025" max="1025" width="5" style="18" customWidth="1"/>
    <col min="1026" max="1027" width="8.1796875" style="18" customWidth="1"/>
    <col min="1028" max="1029" width="0" style="18" hidden="1" customWidth="1"/>
    <col min="1030" max="1030" width="8.1796875" style="18" customWidth="1"/>
    <col min="1031" max="1037" width="0" style="18" hidden="1" customWidth="1"/>
    <col min="1038" max="1038" width="7.81640625" style="18" customWidth="1"/>
    <col min="1039" max="1039" width="0" style="18" hidden="1" customWidth="1"/>
    <col min="1040" max="1040" width="9.81640625" style="18" customWidth="1"/>
    <col min="1041" max="1041" width="0" style="18" hidden="1" customWidth="1"/>
    <col min="1042" max="1043" width="8.1796875" style="18" customWidth="1"/>
    <col min="1044" max="1044" width="8.7265625" style="18" customWidth="1"/>
    <col min="1045" max="1045" width="0" style="18" hidden="1" customWidth="1"/>
    <col min="1046" max="1280" width="9" style="18"/>
    <col min="1281" max="1281" width="5" style="18" customWidth="1"/>
    <col min="1282" max="1283" width="8.1796875" style="18" customWidth="1"/>
    <col min="1284" max="1285" width="0" style="18" hidden="1" customWidth="1"/>
    <col min="1286" max="1286" width="8.1796875" style="18" customWidth="1"/>
    <col min="1287" max="1293" width="0" style="18" hidden="1" customWidth="1"/>
    <col min="1294" max="1294" width="7.81640625" style="18" customWidth="1"/>
    <col min="1295" max="1295" width="0" style="18" hidden="1" customWidth="1"/>
    <col min="1296" max="1296" width="9.81640625" style="18" customWidth="1"/>
    <col min="1297" max="1297" width="0" style="18" hidden="1" customWidth="1"/>
    <col min="1298" max="1299" width="8.1796875" style="18" customWidth="1"/>
    <col min="1300" max="1300" width="8.7265625" style="18" customWidth="1"/>
    <col min="1301" max="1301" width="0" style="18" hidden="1" customWidth="1"/>
    <col min="1302" max="1536" width="9" style="18"/>
    <col min="1537" max="1537" width="5" style="18" customWidth="1"/>
    <col min="1538" max="1539" width="8.1796875" style="18" customWidth="1"/>
    <col min="1540" max="1541" width="0" style="18" hidden="1" customWidth="1"/>
    <col min="1542" max="1542" width="8.1796875" style="18" customWidth="1"/>
    <col min="1543" max="1549" width="0" style="18" hidden="1" customWidth="1"/>
    <col min="1550" max="1550" width="7.81640625" style="18" customWidth="1"/>
    <col min="1551" max="1551" width="0" style="18" hidden="1" customWidth="1"/>
    <col min="1552" max="1552" width="9.81640625" style="18" customWidth="1"/>
    <col min="1553" max="1553" width="0" style="18" hidden="1" customWidth="1"/>
    <col min="1554" max="1555" width="8.1796875" style="18" customWidth="1"/>
    <col min="1556" max="1556" width="8.7265625" style="18" customWidth="1"/>
    <col min="1557" max="1557" width="0" style="18" hidden="1" customWidth="1"/>
    <col min="1558" max="1792" width="9" style="18"/>
    <col min="1793" max="1793" width="5" style="18" customWidth="1"/>
    <col min="1794" max="1795" width="8.1796875" style="18" customWidth="1"/>
    <col min="1796" max="1797" width="0" style="18" hidden="1" customWidth="1"/>
    <col min="1798" max="1798" width="8.1796875" style="18" customWidth="1"/>
    <col min="1799" max="1805" width="0" style="18" hidden="1" customWidth="1"/>
    <col min="1806" max="1806" width="7.81640625" style="18" customWidth="1"/>
    <col min="1807" max="1807" width="0" style="18" hidden="1" customWidth="1"/>
    <col min="1808" max="1808" width="9.81640625" style="18" customWidth="1"/>
    <col min="1809" max="1809" width="0" style="18" hidden="1" customWidth="1"/>
    <col min="1810" max="1811" width="8.1796875" style="18" customWidth="1"/>
    <col min="1812" max="1812" width="8.7265625" style="18" customWidth="1"/>
    <col min="1813" max="1813" width="0" style="18" hidden="1" customWidth="1"/>
    <col min="1814" max="2048" width="9" style="18"/>
    <col min="2049" max="2049" width="5" style="18" customWidth="1"/>
    <col min="2050" max="2051" width="8.1796875" style="18" customWidth="1"/>
    <col min="2052" max="2053" width="0" style="18" hidden="1" customWidth="1"/>
    <col min="2054" max="2054" width="8.1796875" style="18" customWidth="1"/>
    <col min="2055" max="2061" width="0" style="18" hidden="1" customWidth="1"/>
    <col min="2062" max="2062" width="7.81640625" style="18" customWidth="1"/>
    <col min="2063" max="2063" width="0" style="18" hidden="1" customWidth="1"/>
    <col min="2064" max="2064" width="9.81640625" style="18" customWidth="1"/>
    <col min="2065" max="2065" width="0" style="18" hidden="1" customWidth="1"/>
    <col min="2066" max="2067" width="8.1796875" style="18" customWidth="1"/>
    <col min="2068" max="2068" width="8.7265625" style="18" customWidth="1"/>
    <col min="2069" max="2069" width="0" style="18" hidden="1" customWidth="1"/>
    <col min="2070" max="2304" width="9" style="18"/>
    <col min="2305" max="2305" width="5" style="18" customWidth="1"/>
    <col min="2306" max="2307" width="8.1796875" style="18" customWidth="1"/>
    <col min="2308" max="2309" width="0" style="18" hidden="1" customWidth="1"/>
    <col min="2310" max="2310" width="8.1796875" style="18" customWidth="1"/>
    <col min="2311" max="2317" width="0" style="18" hidden="1" customWidth="1"/>
    <col min="2318" max="2318" width="7.81640625" style="18" customWidth="1"/>
    <col min="2319" max="2319" width="0" style="18" hidden="1" customWidth="1"/>
    <col min="2320" max="2320" width="9.81640625" style="18" customWidth="1"/>
    <col min="2321" max="2321" width="0" style="18" hidden="1" customWidth="1"/>
    <col min="2322" max="2323" width="8.1796875" style="18" customWidth="1"/>
    <col min="2324" max="2324" width="8.7265625" style="18" customWidth="1"/>
    <col min="2325" max="2325" width="0" style="18" hidden="1" customWidth="1"/>
    <col min="2326" max="2560" width="9" style="18"/>
    <col min="2561" max="2561" width="5" style="18" customWidth="1"/>
    <col min="2562" max="2563" width="8.1796875" style="18" customWidth="1"/>
    <col min="2564" max="2565" width="0" style="18" hidden="1" customWidth="1"/>
    <col min="2566" max="2566" width="8.1796875" style="18" customWidth="1"/>
    <col min="2567" max="2573" width="0" style="18" hidden="1" customWidth="1"/>
    <col min="2574" max="2574" width="7.81640625" style="18" customWidth="1"/>
    <col min="2575" max="2575" width="0" style="18" hidden="1" customWidth="1"/>
    <col min="2576" max="2576" width="9.81640625" style="18" customWidth="1"/>
    <col min="2577" max="2577" width="0" style="18" hidden="1" customWidth="1"/>
    <col min="2578" max="2579" width="8.1796875" style="18" customWidth="1"/>
    <col min="2580" max="2580" width="8.7265625" style="18" customWidth="1"/>
    <col min="2581" max="2581" width="0" style="18" hidden="1" customWidth="1"/>
    <col min="2582" max="2816" width="9" style="18"/>
    <col min="2817" max="2817" width="5" style="18" customWidth="1"/>
    <col min="2818" max="2819" width="8.1796875" style="18" customWidth="1"/>
    <col min="2820" max="2821" width="0" style="18" hidden="1" customWidth="1"/>
    <col min="2822" max="2822" width="8.1796875" style="18" customWidth="1"/>
    <col min="2823" max="2829" width="0" style="18" hidden="1" customWidth="1"/>
    <col min="2830" max="2830" width="7.81640625" style="18" customWidth="1"/>
    <col min="2831" max="2831" width="0" style="18" hidden="1" customWidth="1"/>
    <col min="2832" max="2832" width="9.81640625" style="18" customWidth="1"/>
    <col min="2833" max="2833" width="0" style="18" hidden="1" customWidth="1"/>
    <col min="2834" max="2835" width="8.1796875" style="18" customWidth="1"/>
    <col min="2836" max="2836" width="8.7265625" style="18" customWidth="1"/>
    <col min="2837" max="2837" width="0" style="18" hidden="1" customWidth="1"/>
    <col min="2838" max="3072" width="9" style="18"/>
    <col min="3073" max="3073" width="5" style="18" customWidth="1"/>
    <col min="3074" max="3075" width="8.1796875" style="18" customWidth="1"/>
    <col min="3076" max="3077" width="0" style="18" hidden="1" customWidth="1"/>
    <col min="3078" max="3078" width="8.1796875" style="18" customWidth="1"/>
    <col min="3079" max="3085" width="0" style="18" hidden="1" customWidth="1"/>
    <col min="3086" max="3086" width="7.81640625" style="18" customWidth="1"/>
    <col min="3087" max="3087" width="0" style="18" hidden="1" customWidth="1"/>
    <col min="3088" max="3088" width="9.81640625" style="18" customWidth="1"/>
    <col min="3089" max="3089" width="0" style="18" hidden="1" customWidth="1"/>
    <col min="3090" max="3091" width="8.1796875" style="18" customWidth="1"/>
    <col min="3092" max="3092" width="8.7265625" style="18" customWidth="1"/>
    <col min="3093" max="3093" width="0" style="18" hidden="1" customWidth="1"/>
    <col min="3094" max="3328" width="9" style="18"/>
    <col min="3329" max="3329" width="5" style="18" customWidth="1"/>
    <col min="3330" max="3331" width="8.1796875" style="18" customWidth="1"/>
    <col min="3332" max="3333" width="0" style="18" hidden="1" customWidth="1"/>
    <col min="3334" max="3334" width="8.1796875" style="18" customWidth="1"/>
    <col min="3335" max="3341" width="0" style="18" hidden="1" customWidth="1"/>
    <col min="3342" max="3342" width="7.81640625" style="18" customWidth="1"/>
    <col min="3343" max="3343" width="0" style="18" hidden="1" customWidth="1"/>
    <col min="3344" max="3344" width="9.81640625" style="18" customWidth="1"/>
    <col min="3345" max="3345" width="0" style="18" hidden="1" customWidth="1"/>
    <col min="3346" max="3347" width="8.1796875" style="18" customWidth="1"/>
    <col min="3348" max="3348" width="8.7265625" style="18" customWidth="1"/>
    <col min="3349" max="3349" width="0" style="18" hidden="1" customWidth="1"/>
    <col min="3350" max="3584" width="9" style="18"/>
    <col min="3585" max="3585" width="5" style="18" customWidth="1"/>
    <col min="3586" max="3587" width="8.1796875" style="18" customWidth="1"/>
    <col min="3588" max="3589" width="0" style="18" hidden="1" customWidth="1"/>
    <col min="3590" max="3590" width="8.1796875" style="18" customWidth="1"/>
    <col min="3591" max="3597" width="0" style="18" hidden="1" customWidth="1"/>
    <col min="3598" max="3598" width="7.81640625" style="18" customWidth="1"/>
    <col min="3599" max="3599" width="0" style="18" hidden="1" customWidth="1"/>
    <col min="3600" max="3600" width="9.81640625" style="18" customWidth="1"/>
    <col min="3601" max="3601" width="0" style="18" hidden="1" customWidth="1"/>
    <col min="3602" max="3603" width="8.1796875" style="18" customWidth="1"/>
    <col min="3604" max="3604" width="8.7265625" style="18" customWidth="1"/>
    <col min="3605" max="3605" width="0" style="18" hidden="1" customWidth="1"/>
    <col min="3606" max="3840" width="9" style="18"/>
    <col min="3841" max="3841" width="5" style="18" customWidth="1"/>
    <col min="3842" max="3843" width="8.1796875" style="18" customWidth="1"/>
    <col min="3844" max="3845" width="0" style="18" hidden="1" customWidth="1"/>
    <col min="3846" max="3846" width="8.1796875" style="18" customWidth="1"/>
    <col min="3847" max="3853" width="0" style="18" hidden="1" customWidth="1"/>
    <col min="3854" max="3854" width="7.81640625" style="18" customWidth="1"/>
    <col min="3855" max="3855" width="0" style="18" hidden="1" customWidth="1"/>
    <col min="3856" max="3856" width="9.81640625" style="18" customWidth="1"/>
    <col min="3857" max="3857" width="0" style="18" hidden="1" customWidth="1"/>
    <col min="3858" max="3859" width="8.1796875" style="18" customWidth="1"/>
    <col min="3860" max="3860" width="8.7265625" style="18" customWidth="1"/>
    <col min="3861" max="3861" width="0" style="18" hidden="1" customWidth="1"/>
    <col min="3862" max="4096" width="9" style="18"/>
    <col min="4097" max="4097" width="5" style="18" customWidth="1"/>
    <col min="4098" max="4099" width="8.1796875" style="18" customWidth="1"/>
    <col min="4100" max="4101" width="0" style="18" hidden="1" customWidth="1"/>
    <col min="4102" max="4102" width="8.1796875" style="18" customWidth="1"/>
    <col min="4103" max="4109" width="0" style="18" hidden="1" customWidth="1"/>
    <col min="4110" max="4110" width="7.81640625" style="18" customWidth="1"/>
    <col min="4111" max="4111" width="0" style="18" hidden="1" customWidth="1"/>
    <col min="4112" max="4112" width="9.81640625" style="18" customWidth="1"/>
    <col min="4113" max="4113" width="0" style="18" hidden="1" customWidth="1"/>
    <col min="4114" max="4115" width="8.1796875" style="18" customWidth="1"/>
    <col min="4116" max="4116" width="8.7265625" style="18" customWidth="1"/>
    <col min="4117" max="4117" width="0" style="18" hidden="1" customWidth="1"/>
    <col min="4118" max="4352" width="9" style="18"/>
    <col min="4353" max="4353" width="5" style="18" customWidth="1"/>
    <col min="4354" max="4355" width="8.1796875" style="18" customWidth="1"/>
    <col min="4356" max="4357" width="0" style="18" hidden="1" customWidth="1"/>
    <col min="4358" max="4358" width="8.1796875" style="18" customWidth="1"/>
    <col min="4359" max="4365" width="0" style="18" hidden="1" customWidth="1"/>
    <col min="4366" max="4366" width="7.81640625" style="18" customWidth="1"/>
    <col min="4367" max="4367" width="0" style="18" hidden="1" customWidth="1"/>
    <col min="4368" max="4368" width="9.81640625" style="18" customWidth="1"/>
    <col min="4369" max="4369" width="0" style="18" hidden="1" customWidth="1"/>
    <col min="4370" max="4371" width="8.1796875" style="18" customWidth="1"/>
    <col min="4372" max="4372" width="8.7265625" style="18" customWidth="1"/>
    <col min="4373" max="4373" width="0" style="18" hidden="1" customWidth="1"/>
    <col min="4374" max="4608" width="9" style="18"/>
    <col min="4609" max="4609" width="5" style="18" customWidth="1"/>
    <col min="4610" max="4611" width="8.1796875" style="18" customWidth="1"/>
    <col min="4612" max="4613" width="0" style="18" hidden="1" customWidth="1"/>
    <col min="4614" max="4614" width="8.1796875" style="18" customWidth="1"/>
    <col min="4615" max="4621" width="0" style="18" hidden="1" customWidth="1"/>
    <col min="4622" max="4622" width="7.81640625" style="18" customWidth="1"/>
    <col min="4623" max="4623" width="0" style="18" hidden="1" customWidth="1"/>
    <col min="4624" max="4624" width="9.81640625" style="18" customWidth="1"/>
    <col min="4625" max="4625" width="0" style="18" hidden="1" customWidth="1"/>
    <col min="4626" max="4627" width="8.1796875" style="18" customWidth="1"/>
    <col min="4628" max="4628" width="8.7265625" style="18" customWidth="1"/>
    <col min="4629" max="4629" width="0" style="18" hidden="1" customWidth="1"/>
    <col min="4630" max="4864" width="9" style="18"/>
    <col min="4865" max="4865" width="5" style="18" customWidth="1"/>
    <col min="4866" max="4867" width="8.1796875" style="18" customWidth="1"/>
    <col min="4868" max="4869" width="0" style="18" hidden="1" customWidth="1"/>
    <col min="4870" max="4870" width="8.1796875" style="18" customWidth="1"/>
    <col min="4871" max="4877" width="0" style="18" hidden="1" customWidth="1"/>
    <col min="4878" max="4878" width="7.81640625" style="18" customWidth="1"/>
    <col min="4879" max="4879" width="0" style="18" hidden="1" customWidth="1"/>
    <col min="4880" max="4880" width="9.81640625" style="18" customWidth="1"/>
    <col min="4881" max="4881" width="0" style="18" hidden="1" customWidth="1"/>
    <col min="4882" max="4883" width="8.1796875" style="18" customWidth="1"/>
    <col min="4884" max="4884" width="8.7265625" style="18" customWidth="1"/>
    <col min="4885" max="4885" width="0" style="18" hidden="1" customWidth="1"/>
    <col min="4886" max="5120" width="9" style="18"/>
    <col min="5121" max="5121" width="5" style="18" customWidth="1"/>
    <col min="5122" max="5123" width="8.1796875" style="18" customWidth="1"/>
    <col min="5124" max="5125" width="0" style="18" hidden="1" customWidth="1"/>
    <col min="5126" max="5126" width="8.1796875" style="18" customWidth="1"/>
    <col min="5127" max="5133" width="0" style="18" hidden="1" customWidth="1"/>
    <col min="5134" max="5134" width="7.81640625" style="18" customWidth="1"/>
    <col min="5135" max="5135" width="0" style="18" hidden="1" customWidth="1"/>
    <col min="5136" max="5136" width="9.81640625" style="18" customWidth="1"/>
    <col min="5137" max="5137" width="0" style="18" hidden="1" customWidth="1"/>
    <col min="5138" max="5139" width="8.1796875" style="18" customWidth="1"/>
    <col min="5140" max="5140" width="8.7265625" style="18" customWidth="1"/>
    <col min="5141" max="5141" width="0" style="18" hidden="1" customWidth="1"/>
    <col min="5142" max="5376" width="9" style="18"/>
    <col min="5377" max="5377" width="5" style="18" customWidth="1"/>
    <col min="5378" max="5379" width="8.1796875" style="18" customWidth="1"/>
    <col min="5380" max="5381" width="0" style="18" hidden="1" customWidth="1"/>
    <col min="5382" max="5382" width="8.1796875" style="18" customWidth="1"/>
    <col min="5383" max="5389" width="0" style="18" hidden="1" customWidth="1"/>
    <col min="5390" max="5390" width="7.81640625" style="18" customWidth="1"/>
    <col min="5391" max="5391" width="0" style="18" hidden="1" customWidth="1"/>
    <col min="5392" max="5392" width="9.81640625" style="18" customWidth="1"/>
    <col min="5393" max="5393" width="0" style="18" hidden="1" customWidth="1"/>
    <col min="5394" max="5395" width="8.1796875" style="18" customWidth="1"/>
    <col min="5396" max="5396" width="8.7265625" style="18" customWidth="1"/>
    <col min="5397" max="5397" width="0" style="18" hidden="1" customWidth="1"/>
    <col min="5398" max="5632" width="9" style="18"/>
    <col min="5633" max="5633" width="5" style="18" customWidth="1"/>
    <col min="5634" max="5635" width="8.1796875" style="18" customWidth="1"/>
    <col min="5636" max="5637" width="0" style="18" hidden="1" customWidth="1"/>
    <col min="5638" max="5638" width="8.1796875" style="18" customWidth="1"/>
    <col min="5639" max="5645" width="0" style="18" hidden="1" customWidth="1"/>
    <col min="5646" max="5646" width="7.81640625" style="18" customWidth="1"/>
    <col min="5647" max="5647" width="0" style="18" hidden="1" customWidth="1"/>
    <col min="5648" max="5648" width="9.81640625" style="18" customWidth="1"/>
    <col min="5649" max="5649" width="0" style="18" hidden="1" customWidth="1"/>
    <col min="5650" max="5651" width="8.1796875" style="18" customWidth="1"/>
    <col min="5652" max="5652" width="8.7265625" style="18" customWidth="1"/>
    <col min="5653" max="5653" width="0" style="18" hidden="1" customWidth="1"/>
    <col min="5654" max="5888" width="9" style="18"/>
    <col min="5889" max="5889" width="5" style="18" customWidth="1"/>
    <col min="5890" max="5891" width="8.1796875" style="18" customWidth="1"/>
    <col min="5892" max="5893" width="0" style="18" hidden="1" customWidth="1"/>
    <col min="5894" max="5894" width="8.1796875" style="18" customWidth="1"/>
    <col min="5895" max="5901" width="0" style="18" hidden="1" customWidth="1"/>
    <col min="5902" max="5902" width="7.81640625" style="18" customWidth="1"/>
    <col min="5903" max="5903" width="0" style="18" hidden="1" customWidth="1"/>
    <col min="5904" max="5904" width="9.81640625" style="18" customWidth="1"/>
    <col min="5905" max="5905" width="0" style="18" hidden="1" customWidth="1"/>
    <col min="5906" max="5907" width="8.1796875" style="18" customWidth="1"/>
    <col min="5908" max="5908" width="8.7265625" style="18" customWidth="1"/>
    <col min="5909" max="5909" width="0" style="18" hidden="1" customWidth="1"/>
    <col min="5910" max="6144" width="9" style="18"/>
    <col min="6145" max="6145" width="5" style="18" customWidth="1"/>
    <col min="6146" max="6147" width="8.1796875" style="18" customWidth="1"/>
    <col min="6148" max="6149" width="0" style="18" hidden="1" customWidth="1"/>
    <col min="6150" max="6150" width="8.1796875" style="18" customWidth="1"/>
    <col min="6151" max="6157" width="0" style="18" hidden="1" customWidth="1"/>
    <col min="6158" max="6158" width="7.81640625" style="18" customWidth="1"/>
    <col min="6159" max="6159" width="0" style="18" hidden="1" customWidth="1"/>
    <col min="6160" max="6160" width="9.81640625" style="18" customWidth="1"/>
    <col min="6161" max="6161" width="0" style="18" hidden="1" customWidth="1"/>
    <col min="6162" max="6163" width="8.1796875" style="18" customWidth="1"/>
    <col min="6164" max="6164" width="8.7265625" style="18" customWidth="1"/>
    <col min="6165" max="6165" width="0" style="18" hidden="1" customWidth="1"/>
    <col min="6166" max="6400" width="9" style="18"/>
    <col min="6401" max="6401" width="5" style="18" customWidth="1"/>
    <col min="6402" max="6403" width="8.1796875" style="18" customWidth="1"/>
    <col min="6404" max="6405" width="0" style="18" hidden="1" customWidth="1"/>
    <col min="6406" max="6406" width="8.1796875" style="18" customWidth="1"/>
    <col min="6407" max="6413" width="0" style="18" hidden="1" customWidth="1"/>
    <col min="6414" max="6414" width="7.81640625" style="18" customWidth="1"/>
    <col min="6415" max="6415" width="0" style="18" hidden="1" customWidth="1"/>
    <col min="6416" max="6416" width="9.81640625" style="18" customWidth="1"/>
    <col min="6417" max="6417" width="0" style="18" hidden="1" customWidth="1"/>
    <col min="6418" max="6419" width="8.1796875" style="18" customWidth="1"/>
    <col min="6420" max="6420" width="8.7265625" style="18" customWidth="1"/>
    <col min="6421" max="6421" width="0" style="18" hidden="1" customWidth="1"/>
    <col min="6422" max="6656" width="9" style="18"/>
    <col min="6657" max="6657" width="5" style="18" customWidth="1"/>
    <col min="6658" max="6659" width="8.1796875" style="18" customWidth="1"/>
    <col min="6660" max="6661" width="0" style="18" hidden="1" customWidth="1"/>
    <col min="6662" max="6662" width="8.1796875" style="18" customWidth="1"/>
    <col min="6663" max="6669" width="0" style="18" hidden="1" customWidth="1"/>
    <col min="6670" max="6670" width="7.81640625" style="18" customWidth="1"/>
    <col min="6671" max="6671" width="0" style="18" hidden="1" customWidth="1"/>
    <col min="6672" max="6672" width="9.81640625" style="18" customWidth="1"/>
    <col min="6673" max="6673" width="0" style="18" hidden="1" customWidth="1"/>
    <col min="6674" max="6675" width="8.1796875" style="18" customWidth="1"/>
    <col min="6676" max="6676" width="8.7265625" style="18" customWidth="1"/>
    <col min="6677" max="6677" width="0" style="18" hidden="1" customWidth="1"/>
    <col min="6678" max="6912" width="9" style="18"/>
    <col min="6913" max="6913" width="5" style="18" customWidth="1"/>
    <col min="6914" max="6915" width="8.1796875" style="18" customWidth="1"/>
    <col min="6916" max="6917" width="0" style="18" hidden="1" customWidth="1"/>
    <col min="6918" max="6918" width="8.1796875" style="18" customWidth="1"/>
    <col min="6919" max="6925" width="0" style="18" hidden="1" customWidth="1"/>
    <col min="6926" max="6926" width="7.81640625" style="18" customWidth="1"/>
    <col min="6927" max="6927" width="0" style="18" hidden="1" customWidth="1"/>
    <col min="6928" max="6928" width="9.81640625" style="18" customWidth="1"/>
    <col min="6929" max="6929" width="0" style="18" hidden="1" customWidth="1"/>
    <col min="6930" max="6931" width="8.1796875" style="18" customWidth="1"/>
    <col min="6932" max="6932" width="8.7265625" style="18" customWidth="1"/>
    <col min="6933" max="6933" width="0" style="18" hidden="1" customWidth="1"/>
    <col min="6934" max="7168" width="9" style="18"/>
    <col min="7169" max="7169" width="5" style="18" customWidth="1"/>
    <col min="7170" max="7171" width="8.1796875" style="18" customWidth="1"/>
    <col min="7172" max="7173" width="0" style="18" hidden="1" customWidth="1"/>
    <col min="7174" max="7174" width="8.1796875" style="18" customWidth="1"/>
    <col min="7175" max="7181" width="0" style="18" hidden="1" customWidth="1"/>
    <col min="7182" max="7182" width="7.81640625" style="18" customWidth="1"/>
    <col min="7183" max="7183" width="0" style="18" hidden="1" customWidth="1"/>
    <col min="7184" max="7184" width="9.81640625" style="18" customWidth="1"/>
    <col min="7185" max="7185" width="0" style="18" hidden="1" customWidth="1"/>
    <col min="7186" max="7187" width="8.1796875" style="18" customWidth="1"/>
    <col min="7188" max="7188" width="8.7265625" style="18" customWidth="1"/>
    <col min="7189" max="7189" width="0" style="18" hidden="1" customWidth="1"/>
    <col min="7190" max="7424" width="9" style="18"/>
    <col min="7425" max="7425" width="5" style="18" customWidth="1"/>
    <col min="7426" max="7427" width="8.1796875" style="18" customWidth="1"/>
    <col min="7428" max="7429" width="0" style="18" hidden="1" customWidth="1"/>
    <col min="7430" max="7430" width="8.1796875" style="18" customWidth="1"/>
    <col min="7431" max="7437" width="0" style="18" hidden="1" customWidth="1"/>
    <col min="7438" max="7438" width="7.81640625" style="18" customWidth="1"/>
    <col min="7439" max="7439" width="0" style="18" hidden="1" customWidth="1"/>
    <col min="7440" max="7440" width="9.81640625" style="18" customWidth="1"/>
    <col min="7441" max="7441" width="0" style="18" hidden="1" customWidth="1"/>
    <col min="7442" max="7443" width="8.1796875" style="18" customWidth="1"/>
    <col min="7444" max="7444" width="8.7265625" style="18" customWidth="1"/>
    <col min="7445" max="7445" width="0" style="18" hidden="1" customWidth="1"/>
    <col min="7446" max="7680" width="9" style="18"/>
    <col min="7681" max="7681" width="5" style="18" customWidth="1"/>
    <col min="7682" max="7683" width="8.1796875" style="18" customWidth="1"/>
    <col min="7684" max="7685" width="0" style="18" hidden="1" customWidth="1"/>
    <col min="7686" max="7686" width="8.1796875" style="18" customWidth="1"/>
    <col min="7687" max="7693" width="0" style="18" hidden="1" customWidth="1"/>
    <col min="7694" max="7694" width="7.81640625" style="18" customWidth="1"/>
    <col min="7695" max="7695" width="0" style="18" hidden="1" customWidth="1"/>
    <col min="7696" max="7696" width="9.81640625" style="18" customWidth="1"/>
    <col min="7697" max="7697" width="0" style="18" hidden="1" customWidth="1"/>
    <col min="7698" max="7699" width="8.1796875" style="18" customWidth="1"/>
    <col min="7700" max="7700" width="8.7265625" style="18" customWidth="1"/>
    <col min="7701" max="7701" width="0" style="18" hidden="1" customWidth="1"/>
    <col min="7702" max="7936" width="9" style="18"/>
    <col min="7937" max="7937" width="5" style="18" customWidth="1"/>
    <col min="7938" max="7939" width="8.1796875" style="18" customWidth="1"/>
    <col min="7940" max="7941" width="0" style="18" hidden="1" customWidth="1"/>
    <col min="7942" max="7942" width="8.1796875" style="18" customWidth="1"/>
    <col min="7943" max="7949" width="0" style="18" hidden="1" customWidth="1"/>
    <col min="7950" max="7950" width="7.81640625" style="18" customWidth="1"/>
    <col min="7951" max="7951" width="0" style="18" hidden="1" customWidth="1"/>
    <col min="7952" max="7952" width="9.81640625" style="18" customWidth="1"/>
    <col min="7953" max="7953" width="0" style="18" hidden="1" customWidth="1"/>
    <col min="7954" max="7955" width="8.1796875" style="18" customWidth="1"/>
    <col min="7956" max="7956" width="8.7265625" style="18" customWidth="1"/>
    <col min="7957" max="7957" width="0" style="18" hidden="1" customWidth="1"/>
    <col min="7958" max="8192" width="9" style="18"/>
    <col min="8193" max="8193" width="5" style="18" customWidth="1"/>
    <col min="8194" max="8195" width="8.1796875" style="18" customWidth="1"/>
    <col min="8196" max="8197" width="0" style="18" hidden="1" customWidth="1"/>
    <col min="8198" max="8198" width="8.1796875" style="18" customWidth="1"/>
    <col min="8199" max="8205" width="0" style="18" hidden="1" customWidth="1"/>
    <col min="8206" max="8206" width="7.81640625" style="18" customWidth="1"/>
    <col min="8207" max="8207" width="0" style="18" hidden="1" customWidth="1"/>
    <col min="8208" max="8208" width="9.81640625" style="18" customWidth="1"/>
    <col min="8209" max="8209" width="0" style="18" hidden="1" customWidth="1"/>
    <col min="8210" max="8211" width="8.1796875" style="18" customWidth="1"/>
    <col min="8212" max="8212" width="8.7265625" style="18" customWidth="1"/>
    <col min="8213" max="8213" width="0" style="18" hidden="1" customWidth="1"/>
    <col min="8214" max="8448" width="9" style="18"/>
    <col min="8449" max="8449" width="5" style="18" customWidth="1"/>
    <col min="8450" max="8451" width="8.1796875" style="18" customWidth="1"/>
    <col min="8452" max="8453" width="0" style="18" hidden="1" customWidth="1"/>
    <col min="8454" max="8454" width="8.1796875" style="18" customWidth="1"/>
    <col min="8455" max="8461" width="0" style="18" hidden="1" customWidth="1"/>
    <col min="8462" max="8462" width="7.81640625" style="18" customWidth="1"/>
    <col min="8463" max="8463" width="0" style="18" hidden="1" customWidth="1"/>
    <col min="8464" max="8464" width="9.81640625" style="18" customWidth="1"/>
    <col min="8465" max="8465" width="0" style="18" hidden="1" customWidth="1"/>
    <col min="8466" max="8467" width="8.1796875" style="18" customWidth="1"/>
    <col min="8468" max="8468" width="8.7265625" style="18" customWidth="1"/>
    <col min="8469" max="8469" width="0" style="18" hidden="1" customWidth="1"/>
    <col min="8470" max="8704" width="9" style="18"/>
    <col min="8705" max="8705" width="5" style="18" customWidth="1"/>
    <col min="8706" max="8707" width="8.1796875" style="18" customWidth="1"/>
    <col min="8708" max="8709" width="0" style="18" hidden="1" customWidth="1"/>
    <col min="8710" max="8710" width="8.1796875" style="18" customWidth="1"/>
    <col min="8711" max="8717" width="0" style="18" hidden="1" customWidth="1"/>
    <col min="8718" max="8718" width="7.81640625" style="18" customWidth="1"/>
    <col min="8719" max="8719" width="0" style="18" hidden="1" customWidth="1"/>
    <col min="8720" max="8720" width="9.81640625" style="18" customWidth="1"/>
    <col min="8721" max="8721" width="0" style="18" hidden="1" customWidth="1"/>
    <col min="8722" max="8723" width="8.1796875" style="18" customWidth="1"/>
    <col min="8724" max="8724" width="8.7265625" style="18" customWidth="1"/>
    <col min="8725" max="8725" width="0" style="18" hidden="1" customWidth="1"/>
    <col min="8726" max="8960" width="9" style="18"/>
    <col min="8961" max="8961" width="5" style="18" customWidth="1"/>
    <col min="8962" max="8963" width="8.1796875" style="18" customWidth="1"/>
    <col min="8964" max="8965" width="0" style="18" hidden="1" customWidth="1"/>
    <col min="8966" max="8966" width="8.1796875" style="18" customWidth="1"/>
    <col min="8967" max="8973" width="0" style="18" hidden="1" customWidth="1"/>
    <col min="8974" max="8974" width="7.81640625" style="18" customWidth="1"/>
    <col min="8975" max="8975" width="0" style="18" hidden="1" customWidth="1"/>
    <col min="8976" max="8976" width="9.81640625" style="18" customWidth="1"/>
    <col min="8977" max="8977" width="0" style="18" hidden="1" customWidth="1"/>
    <col min="8978" max="8979" width="8.1796875" style="18" customWidth="1"/>
    <col min="8980" max="8980" width="8.7265625" style="18" customWidth="1"/>
    <col min="8981" max="8981" width="0" style="18" hidden="1" customWidth="1"/>
    <col min="8982" max="9216" width="9" style="18"/>
    <col min="9217" max="9217" width="5" style="18" customWidth="1"/>
    <col min="9218" max="9219" width="8.1796875" style="18" customWidth="1"/>
    <col min="9220" max="9221" width="0" style="18" hidden="1" customWidth="1"/>
    <col min="9222" max="9222" width="8.1796875" style="18" customWidth="1"/>
    <col min="9223" max="9229" width="0" style="18" hidden="1" customWidth="1"/>
    <col min="9230" max="9230" width="7.81640625" style="18" customWidth="1"/>
    <col min="9231" max="9231" width="0" style="18" hidden="1" customWidth="1"/>
    <col min="9232" max="9232" width="9.81640625" style="18" customWidth="1"/>
    <col min="9233" max="9233" width="0" style="18" hidden="1" customWidth="1"/>
    <col min="9234" max="9235" width="8.1796875" style="18" customWidth="1"/>
    <col min="9236" max="9236" width="8.7265625" style="18" customWidth="1"/>
    <col min="9237" max="9237" width="0" style="18" hidden="1" customWidth="1"/>
    <col min="9238" max="9472" width="9" style="18"/>
    <col min="9473" max="9473" width="5" style="18" customWidth="1"/>
    <col min="9474" max="9475" width="8.1796875" style="18" customWidth="1"/>
    <col min="9476" max="9477" width="0" style="18" hidden="1" customWidth="1"/>
    <col min="9478" max="9478" width="8.1796875" style="18" customWidth="1"/>
    <col min="9479" max="9485" width="0" style="18" hidden="1" customWidth="1"/>
    <col min="9486" max="9486" width="7.81640625" style="18" customWidth="1"/>
    <col min="9487" max="9487" width="0" style="18" hidden="1" customWidth="1"/>
    <col min="9488" max="9488" width="9.81640625" style="18" customWidth="1"/>
    <col min="9489" max="9489" width="0" style="18" hidden="1" customWidth="1"/>
    <col min="9490" max="9491" width="8.1796875" style="18" customWidth="1"/>
    <col min="9492" max="9492" width="8.7265625" style="18" customWidth="1"/>
    <col min="9493" max="9493" width="0" style="18" hidden="1" customWidth="1"/>
    <col min="9494" max="9728" width="9" style="18"/>
    <col min="9729" max="9729" width="5" style="18" customWidth="1"/>
    <col min="9730" max="9731" width="8.1796875" style="18" customWidth="1"/>
    <col min="9732" max="9733" width="0" style="18" hidden="1" customWidth="1"/>
    <col min="9734" max="9734" width="8.1796875" style="18" customWidth="1"/>
    <col min="9735" max="9741" width="0" style="18" hidden="1" customWidth="1"/>
    <col min="9742" max="9742" width="7.81640625" style="18" customWidth="1"/>
    <col min="9743" max="9743" width="0" style="18" hidden="1" customWidth="1"/>
    <col min="9744" max="9744" width="9.81640625" style="18" customWidth="1"/>
    <col min="9745" max="9745" width="0" style="18" hidden="1" customWidth="1"/>
    <col min="9746" max="9747" width="8.1796875" style="18" customWidth="1"/>
    <col min="9748" max="9748" width="8.7265625" style="18" customWidth="1"/>
    <col min="9749" max="9749" width="0" style="18" hidden="1" customWidth="1"/>
    <col min="9750" max="9984" width="9" style="18"/>
    <col min="9985" max="9985" width="5" style="18" customWidth="1"/>
    <col min="9986" max="9987" width="8.1796875" style="18" customWidth="1"/>
    <col min="9988" max="9989" width="0" style="18" hidden="1" customWidth="1"/>
    <col min="9990" max="9990" width="8.1796875" style="18" customWidth="1"/>
    <col min="9991" max="9997" width="0" style="18" hidden="1" customWidth="1"/>
    <col min="9998" max="9998" width="7.81640625" style="18" customWidth="1"/>
    <col min="9999" max="9999" width="0" style="18" hidden="1" customWidth="1"/>
    <col min="10000" max="10000" width="9.81640625" style="18" customWidth="1"/>
    <col min="10001" max="10001" width="0" style="18" hidden="1" customWidth="1"/>
    <col min="10002" max="10003" width="8.1796875" style="18" customWidth="1"/>
    <col min="10004" max="10004" width="8.7265625" style="18" customWidth="1"/>
    <col min="10005" max="10005" width="0" style="18" hidden="1" customWidth="1"/>
    <col min="10006" max="10240" width="9" style="18"/>
    <col min="10241" max="10241" width="5" style="18" customWidth="1"/>
    <col min="10242" max="10243" width="8.1796875" style="18" customWidth="1"/>
    <col min="10244" max="10245" width="0" style="18" hidden="1" customWidth="1"/>
    <col min="10246" max="10246" width="8.1796875" style="18" customWidth="1"/>
    <col min="10247" max="10253" width="0" style="18" hidden="1" customWidth="1"/>
    <col min="10254" max="10254" width="7.81640625" style="18" customWidth="1"/>
    <col min="10255" max="10255" width="0" style="18" hidden="1" customWidth="1"/>
    <col min="10256" max="10256" width="9.81640625" style="18" customWidth="1"/>
    <col min="10257" max="10257" width="0" style="18" hidden="1" customWidth="1"/>
    <col min="10258" max="10259" width="8.1796875" style="18" customWidth="1"/>
    <col min="10260" max="10260" width="8.7265625" style="18" customWidth="1"/>
    <col min="10261" max="10261" width="0" style="18" hidden="1" customWidth="1"/>
    <col min="10262" max="10496" width="9" style="18"/>
    <col min="10497" max="10497" width="5" style="18" customWidth="1"/>
    <col min="10498" max="10499" width="8.1796875" style="18" customWidth="1"/>
    <col min="10500" max="10501" width="0" style="18" hidden="1" customWidth="1"/>
    <col min="10502" max="10502" width="8.1796875" style="18" customWidth="1"/>
    <col min="10503" max="10509" width="0" style="18" hidden="1" customWidth="1"/>
    <col min="10510" max="10510" width="7.81640625" style="18" customWidth="1"/>
    <col min="10511" max="10511" width="0" style="18" hidden="1" customWidth="1"/>
    <col min="10512" max="10512" width="9.81640625" style="18" customWidth="1"/>
    <col min="10513" max="10513" width="0" style="18" hidden="1" customWidth="1"/>
    <col min="10514" max="10515" width="8.1796875" style="18" customWidth="1"/>
    <col min="10516" max="10516" width="8.7265625" style="18" customWidth="1"/>
    <col min="10517" max="10517" width="0" style="18" hidden="1" customWidth="1"/>
    <col min="10518" max="10752" width="9" style="18"/>
    <col min="10753" max="10753" width="5" style="18" customWidth="1"/>
    <col min="10754" max="10755" width="8.1796875" style="18" customWidth="1"/>
    <col min="10756" max="10757" width="0" style="18" hidden="1" customWidth="1"/>
    <col min="10758" max="10758" width="8.1796875" style="18" customWidth="1"/>
    <col min="10759" max="10765" width="0" style="18" hidden="1" customWidth="1"/>
    <col min="10766" max="10766" width="7.81640625" style="18" customWidth="1"/>
    <col min="10767" max="10767" width="0" style="18" hidden="1" customWidth="1"/>
    <col min="10768" max="10768" width="9.81640625" style="18" customWidth="1"/>
    <col min="10769" max="10769" width="0" style="18" hidden="1" customWidth="1"/>
    <col min="10770" max="10771" width="8.1796875" style="18" customWidth="1"/>
    <col min="10772" max="10772" width="8.7265625" style="18" customWidth="1"/>
    <col min="10773" max="10773" width="0" style="18" hidden="1" customWidth="1"/>
    <col min="10774" max="11008" width="9" style="18"/>
    <col min="11009" max="11009" width="5" style="18" customWidth="1"/>
    <col min="11010" max="11011" width="8.1796875" style="18" customWidth="1"/>
    <col min="11012" max="11013" width="0" style="18" hidden="1" customWidth="1"/>
    <col min="11014" max="11014" width="8.1796875" style="18" customWidth="1"/>
    <col min="11015" max="11021" width="0" style="18" hidden="1" customWidth="1"/>
    <col min="11022" max="11022" width="7.81640625" style="18" customWidth="1"/>
    <col min="11023" max="11023" width="0" style="18" hidden="1" customWidth="1"/>
    <col min="11024" max="11024" width="9.81640625" style="18" customWidth="1"/>
    <col min="11025" max="11025" width="0" style="18" hidden="1" customWidth="1"/>
    <col min="11026" max="11027" width="8.1796875" style="18" customWidth="1"/>
    <col min="11028" max="11028" width="8.7265625" style="18" customWidth="1"/>
    <col min="11029" max="11029" width="0" style="18" hidden="1" customWidth="1"/>
    <col min="11030" max="11264" width="9" style="18"/>
    <col min="11265" max="11265" width="5" style="18" customWidth="1"/>
    <col min="11266" max="11267" width="8.1796875" style="18" customWidth="1"/>
    <col min="11268" max="11269" width="0" style="18" hidden="1" customWidth="1"/>
    <col min="11270" max="11270" width="8.1796875" style="18" customWidth="1"/>
    <col min="11271" max="11277" width="0" style="18" hidden="1" customWidth="1"/>
    <col min="11278" max="11278" width="7.81640625" style="18" customWidth="1"/>
    <col min="11279" max="11279" width="0" style="18" hidden="1" customWidth="1"/>
    <col min="11280" max="11280" width="9.81640625" style="18" customWidth="1"/>
    <col min="11281" max="11281" width="0" style="18" hidden="1" customWidth="1"/>
    <col min="11282" max="11283" width="8.1796875" style="18" customWidth="1"/>
    <col min="11284" max="11284" width="8.7265625" style="18" customWidth="1"/>
    <col min="11285" max="11285" width="0" style="18" hidden="1" customWidth="1"/>
    <col min="11286" max="11520" width="9" style="18"/>
    <col min="11521" max="11521" width="5" style="18" customWidth="1"/>
    <col min="11522" max="11523" width="8.1796875" style="18" customWidth="1"/>
    <col min="11524" max="11525" width="0" style="18" hidden="1" customWidth="1"/>
    <col min="11526" max="11526" width="8.1796875" style="18" customWidth="1"/>
    <col min="11527" max="11533" width="0" style="18" hidden="1" customWidth="1"/>
    <col min="11534" max="11534" width="7.81640625" style="18" customWidth="1"/>
    <col min="11535" max="11535" width="0" style="18" hidden="1" customWidth="1"/>
    <col min="11536" max="11536" width="9.81640625" style="18" customWidth="1"/>
    <col min="11537" max="11537" width="0" style="18" hidden="1" customWidth="1"/>
    <col min="11538" max="11539" width="8.1796875" style="18" customWidth="1"/>
    <col min="11540" max="11540" width="8.7265625" style="18" customWidth="1"/>
    <col min="11541" max="11541" width="0" style="18" hidden="1" customWidth="1"/>
    <col min="11542" max="11776" width="9" style="18"/>
    <col min="11777" max="11777" width="5" style="18" customWidth="1"/>
    <col min="11778" max="11779" width="8.1796875" style="18" customWidth="1"/>
    <col min="11780" max="11781" width="0" style="18" hidden="1" customWidth="1"/>
    <col min="11782" max="11782" width="8.1796875" style="18" customWidth="1"/>
    <col min="11783" max="11789" width="0" style="18" hidden="1" customWidth="1"/>
    <col min="11790" max="11790" width="7.81640625" style="18" customWidth="1"/>
    <col min="11791" max="11791" width="0" style="18" hidden="1" customWidth="1"/>
    <col min="11792" max="11792" width="9.81640625" style="18" customWidth="1"/>
    <col min="11793" max="11793" width="0" style="18" hidden="1" customWidth="1"/>
    <col min="11794" max="11795" width="8.1796875" style="18" customWidth="1"/>
    <col min="11796" max="11796" width="8.7265625" style="18" customWidth="1"/>
    <col min="11797" max="11797" width="0" style="18" hidden="1" customWidth="1"/>
    <col min="11798" max="12032" width="9" style="18"/>
    <col min="12033" max="12033" width="5" style="18" customWidth="1"/>
    <col min="12034" max="12035" width="8.1796875" style="18" customWidth="1"/>
    <col min="12036" max="12037" width="0" style="18" hidden="1" customWidth="1"/>
    <col min="12038" max="12038" width="8.1796875" style="18" customWidth="1"/>
    <col min="12039" max="12045" width="0" style="18" hidden="1" customWidth="1"/>
    <col min="12046" max="12046" width="7.81640625" style="18" customWidth="1"/>
    <col min="12047" max="12047" width="0" style="18" hidden="1" customWidth="1"/>
    <col min="12048" max="12048" width="9.81640625" style="18" customWidth="1"/>
    <col min="12049" max="12049" width="0" style="18" hidden="1" customWidth="1"/>
    <col min="12050" max="12051" width="8.1796875" style="18" customWidth="1"/>
    <col min="12052" max="12052" width="8.7265625" style="18" customWidth="1"/>
    <col min="12053" max="12053" width="0" style="18" hidden="1" customWidth="1"/>
    <col min="12054" max="12288" width="9" style="18"/>
    <col min="12289" max="12289" width="5" style="18" customWidth="1"/>
    <col min="12290" max="12291" width="8.1796875" style="18" customWidth="1"/>
    <col min="12292" max="12293" width="0" style="18" hidden="1" customWidth="1"/>
    <col min="12294" max="12294" width="8.1796875" style="18" customWidth="1"/>
    <col min="12295" max="12301" width="0" style="18" hidden="1" customWidth="1"/>
    <col min="12302" max="12302" width="7.81640625" style="18" customWidth="1"/>
    <col min="12303" max="12303" width="0" style="18" hidden="1" customWidth="1"/>
    <col min="12304" max="12304" width="9.81640625" style="18" customWidth="1"/>
    <col min="12305" max="12305" width="0" style="18" hidden="1" customWidth="1"/>
    <col min="12306" max="12307" width="8.1796875" style="18" customWidth="1"/>
    <col min="12308" max="12308" width="8.7265625" style="18" customWidth="1"/>
    <col min="12309" max="12309" width="0" style="18" hidden="1" customWidth="1"/>
    <col min="12310" max="12544" width="9" style="18"/>
    <col min="12545" max="12545" width="5" style="18" customWidth="1"/>
    <col min="12546" max="12547" width="8.1796875" style="18" customWidth="1"/>
    <col min="12548" max="12549" width="0" style="18" hidden="1" customWidth="1"/>
    <col min="12550" max="12550" width="8.1796875" style="18" customWidth="1"/>
    <col min="12551" max="12557" width="0" style="18" hidden="1" customWidth="1"/>
    <col min="12558" max="12558" width="7.81640625" style="18" customWidth="1"/>
    <col min="12559" max="12559" width="0" style="18" hidden="1" customWidth="1"/>
    <col min="12560" max="12560" width="9.81640625" style="18" customWidth="1"/>
    <col min="12561" max="12561" width="0" style="18" hidden="1" customWidth="1"/>
    <col min="12562" max="12563" width="8.1796875" style="18" customWidth="1"/>
    <col min="12564" max="12564" width="8.7265625" style="18" customWidth="1"/>
    <col min="12565" max="12565" width="0" style="18" hidden="1" customWidth="1"/>
    <col min="12566" max="12800" width="9" style="18"/>
    <col min="12801" max="12801" width="5" style="18" customWidth="1"/>
    <col min="12802" max="12803" width="8.1796875" style="18" customWidth="1"/>
    <col min="12804" max="12805" width="0" style="18" hidden="1" customWidth="1"/>
    <col min="12806" max="12806" width="8.1796875" style="18" customWidth="1"/>
    <col min="12807" max="12813" width="0" style="18" hidden="1" customWidth="1"/>
    <col min="12814" max="12814" width="7.81640625" style="18" customWidth="1"/>
    <col min="12815" max="12815" width="0" style="18" hidden="1" customWidth="1"/>
    <col min="12816" max="12816" width="9.81640625" style="18" customWidth="1"/>
    <col min="12817" max="12817" width="0" style="18" hidden="1" customWidth="1"/>
    <col min="12818" max="12819" width="8.1796875" style="18" customWidth="1"/>
    <col min="12820" max="12820" width="8.7265625" style="18" customWidth="1"/>
    <col min="12821" max="12821" width="0" style="18" hidden="1" customWidth="1"/>
    <col min="12822" max="13056" width="9" style="18"/>
    <col min="13057" max="13057" width="5" style="18" customWidth="1"/>
    <col min="13058" max="13059" width="8.1796875" style="18" customWidth="1"/>
    <col min="13060" max="13061" width="0" style="18" hidden="1" customWidth="1"/>
    <col min="13062" max="13062" width="8.1796875" style="18" customWidth="1"/>
    <col min="13063" max="13069" width="0" style="18" hidden="1" customWidth="1"/>
    <col min="13070" max="13070" width="7.81640625" style="18" customWidth="1"/>
    <col min="13071" max="13071" width="0" style="18" hidden="1" customWidth="1"/>
    <col min="13072" max="13072" width="9.81640625" style="18" customWidth="1"/>
    <col min="13073" max="13073" width="0" style="18" hidden="1" customWidth="1"/>
    <col min="13074" max="13075" width="8.1796875" style="18" customWidth="1"/>
    <col min="13076" max="13076" width="8.7265625" style="18" customWidth="1"/>
    <col min="13077" max="13077" width="0" style="18" hidden="1" customWidth="1"/>
    <col min="13078" max="13312" width="9" style="18"/>
    <col min="13313" max="13313" width="5" style="18" customWidth="1"/>
    <col min="13314" max="13315" width="8.1796875" style="18" customWidth="1"/>
    <col min="13316" max="13317" width="0" style="18" hidden="1" customWidth="1"/>
    <col min="13318" max="13318" width="8.1796875" style="18" customWidth="1"/>
    <col min="13319" max="13325" width="0" style="18" hidden="1" customWidth="1"/>
    <col min="13326" max="13326" width="7.81640625" style="18" customWidth="1"/>
    <col min="13327" max="13327" width="0" style="18" hidden="1" customWidth="1"/>
    <col min="13328" max="13328" width="9.81640625" style="18" customWidth="1"/>
    <col min="13329" max="13329" width="0" style="18" hidden="1" customWidth="1"/>
    <col min="13330" max="13331" width="8.1796875" style="18" customWidth="1"/>
    <col min="13332" max="13332" width="8.7265625" style="18" customWidth="1"/>
    <col min="13333" max="13333" width="0" style="18" hidden="1" customWidth="1"/>
    <col min="13334" max="13568" width="9" style="18"/>
    <col min="13569" max="13569" width="5" style="18" customWidth="1"/>
    <col min="13570" max="13571" width="8.1796875" style="18" customWidth="1"/>
    <col min="13572" max="13573" width="0" style="18" hidden="1" customWidth="1"/>
    <col min="13574" max="13574" width="8.1796875" style="18" customWidth="1"/>
    <col min="13575" max="13581" width="0" style="18" hidden="1" customWidth="1"/>
    <col min="13582" max="13582" width="7.81640625" style="18" customWidth="1"/>
    <col min="13583" max="13583" width="0" style="18" hidden="1" customWidth="1"/>
    <col min="13584" max="13584" width="9.81640625" style="18" customWidth="1"/>
    <col min="13585" max="13585" width="0" style="18" hidden="1" customWidth="1"/>
    <col min="13586" max="13587" width="8.1796875" style="18" customWidth="1"/>
    <col min="13588" max="13588" width="8.7265625" style="18" customWidth="1"/>
    <col min="13589" max="13589" width="0" style="18" hidden="1" customWidth="1"/>
    <col min="13590" max="13824" width="9" style="18"/>
    <col min="13825" max="13825" width="5" style="18" customWidth="1"/>
    <col min="13826" max="13827" width="8.1796875" style="18" customWidth="1"/>
    <col min="13828" max="13829" width="0" style="18" hidden="1" customWidth="1"/>
    <col min="13830" max="13830" width="8.1796875" style="18" customWidth="1"/>
    <col min="13831" max="13837" width="0" style="18" hidden="1" customWidth="1"/>
    <col min="13838" max="13838" width="7.81640625" style="18" customWidth="1"/>
    <col min="13839" max="13839" width="0" style="18" hidden="1" customWidth="1"/>
    <col min="13840" max="13840" width="9.81640625" style="18" customWidth="1"/>
    <col min="13841" max="13841" width="0" style="18" hidden="1" customWidth="1"/>
    <col min="13842" max="13843" width="8.1796875" style="18" customWidth="1"/>
    <col min="13844" max="13844" width="8.7265625" style="18" customWidth="1"/>
    <col min="13845" max="13845" width="0" style="18" hidden="1" customWidth="1"/>
    <col min="13846" max="14080" width="9" style="18"/>
    <col min="14081" max="14081" width="5" style="18" customWidth="1"/>
    <col min="14082" max="14083" width="8.1796875" style="18" customWidth="1"/>
    <col min="14084" max="14085" width="0" style="18" hidden="1" customWidth="1"/>
    <col min="14086" max="14086" width="8.1796875" style="18" customWidth="1"/>
    <col min="14087" max="14093" width="0" style="18" hidden="1" customWidth="1"/>
    <col min="14094" max="14094" width="7.81640625" style="18" customWidth="1"/>
    <col min="14095" max="14095" width="0" style="18" hidden="1" customWidth="1"/>
    <col min="14096" max="14096" width="9.81640625" style="18" customWidth="1"/>
    <col min="14097" max="14097" width="0" style="18" hidden="1" customWidth="1"/>
    <col min="14098" max="14099" width="8.1796875" style="18" customWidth="1"/>
    <col min="14100" max="14100" width="8.7265625" style="18" customWidth="1"/>
    <col min="14101" max="14101" width="0" style="18" hidden="1" customWidth="1"/>
    <col min="14102" max="14336" width="9" style="18"/>
    <col min="14337" max="14337" width="5" style="18" customWidth="1"/>
    <col min="14338" max="14339" width="8.1796875" style="18" customWidth="1"/>
    <col min="14340" max="14341" width="0" style="18" hidden="1" customWidth="1"/>
    <col min="14342" max="14342" width="8.1796875" style="18" customWidth="1"/>
    <col min="14343" max="14349" width="0" style="18" hidden="1" customWidth="1"/>
    <col min="14350" max="14350" width="7.81640625" style="18" customWidth="1"/>
    <col min="14351" max="14351" width="0" style="18" hidden="1" customWidth="1"/>
    <col min="14352" max="14352" width="9.81640625" style="18" customWidth="1"/>
    <col min="14353" max="14353" width="0" style="18" hidden="1" customWidth="1"/>
    <col min="14354" max="14355" width="8.1796875" style="18" customWidth="1"/>
    <col min="14356" max="14356" width="8.7265625" style="18" customWidth="1"/>
    <col min="14357" max="14357" width="0" style="18" hidden="1" customWidth="1"/>
    <col min="14358" max="14592" width="9" style="18"/>
    <col min="14593" max="14593" width="5" style="18" customWidth="1"/>
    <col min="14594" max="14595" width="8.1796875" style="18" customWidth="1"/>
    <col min="14596" max="14597" width="0" style="18" hidden="1" customWidth="1"/>
    <col min="14598" max="14598" width="8.1796875" style="18" customWidth="1"/>
    <col min="14599" max="14605" width="0" style="18" hidden="1" customWidth="1"/>
    <col min="14606" max="14606" width="7.81640625" style="18" customWidth="1"/>
    <col min="14607" max="14607" width="0" style="18" hidden="1" customWidth="1"/>
    <col min="14608" max="14608" width="9.81640625" style="18" customWidth="1"/>
    <col min="14609" max="14609" width="0" style="18" hidden="1" customWidth="1"/>
    <col min="14610" max="14611" width="8.1796875" style="18" customWidth="1"/>
    <col min="14612" max="14612" width="8.7265625" style="18" customWidth="1"/>
    <col min="14613" max="14613" width="0" style="18" hidden="1" customWidth="1"/>
    <col min="14614" max="14848" width="9" style="18"/>
    <col min="14849" max="14849" width="5" style="18" customWidth="1"/>
    <col min="14850" max="14851" width="8.1796875" style="18" customWidth="1"/>
    <col min="14852" max="14853" width="0" style="18" hidden="1" customWidth="1"/>
    <col min="14854" max="14854" width="8.1796875" style="18" customWidth="1"/>
    <col min="14855" max="14861" width="0" style="18" hidden="1" customWidth="1"/>
    <col min="14862" max="14862" width="7.81640625" style="18" customWidth="1"/>
    <col min="14863" max="14863" width="0" style="18" hidden="1" customWidth="1"/>
    <col min="14864" max="14864" width="9.81640625" style="18" customWidth="1"/>
    <col min="14865" max="14865" width="0" style="18" hidden="1" customWidth="1"/>
    <col min="14866" max="14867" width="8.1796875" style="18" customWidth="1"/>
    <col min="14868" max="14868" width="8.7265625" style="18" customWidth="1"/>
    <col min="14869" max="14869" width="0" style="18" hidden="1" customWidth="1"/>
    <col min="14870" max="15104" width="9" style="18"/>
    <col min="15105" max="15105" width="5" style="18" customWidth="1"/>
    <col min="15106" max="15107" width="8.1796875" style="18" customWidth="1"/>
    <col min="15108" max="15109" width="0" style="18" hidden="1" customWidth="1"/>
    <col min="15110" max="15110" width="8.1796875" style="18" customWidth="1"/>
    <col min="15111" max="15117" width="0" style="18" hidden="1" customWidth="1"/>
    <col min="15118" max="15118" width="7.81640625" style="18" customWidth="1"/>
    <col min="15119" max="15119" width="0" style="18" hidden="1" customWidth="1"/>
    <col min="15120" max="15120" width="9.81640625" style="18" customWidth="1"/>
    <col min="15121" max="15121" width="0" style="18" hidden="1" customWidth="1"/>
    <col min="15122" max="15123" width="8.1796875" style="18" customWidth="1"/>
    <col min="15124" max="15124" width="8.7265625" style="18" customWidth="1"/>
    <col min="15125" max="15125" width="0" style="18" hidden="1" customWidth="1"/>
    <col min="15126" max="15360" width="9" style="18"/>
    <col min="15361" max="15361" width="5" style="18" customWidth="1"/>
    <col min="15362" max="15363" width="8.1796875" style="18" customWidth="1"/>
    <col min="15364" max="15365" width="0" style="18" hidden="1" customWidth="1"/>
    <col min="15366" max="15366" width="8.1796875" style="18" customWidth="1"/>
    <col min="15367" max="15373" width="0" style="18" hidden="1" customWidth="1"/>
    <col min="15374" max="15374" width="7.81640625" style="18" customWidth="1"/>
    <col min="15375" max="15375" width="0" style="18" hidden="1" customWidth="1"/>
    <col min="15376" max="15376" width="9.81640625" style="18" customWidth="1"/>
    <col min="15377" max="15377" width="0" style="18" hidden="1" customWidth="1"/>
    <col min="15378" max="15379" width="8.1796875" style="18" customWidth="1"/>
    <col min="15380" max="15380" width="8.7265625" style="18" customWidth="1"/>
    <col min="15381" max="15381" width="0" style="18" hidden="1" customWidth="1"/>
    <col min="15382" max="15616" width="9" style="18"/>
    <col min="15617" max="15617" width="5" style="18" customWidth="1"/>
    <col min="15618" max="15619" width="8.1796875" style="18" customWidth="1"/>
    <col min="15620" max="15621" width="0" style="18" hidden="1" customWidth="1"/>
    <col min="15622" max="15622" width="8.1796875" style="18" customWidth="1"/>
    <col min="15623" max="15629" width="0" style="18" hidden="1" customWidth="1"/>
    <col min="15630" max="15630" width="7.81640625" style="18" customWidth="1"/>
    <col min="15631" max="15631" width="0" style="18" hidden="1" customWidth="1"/>
    <col min="15632" max="15632" width="9.81640625" style="18" customWidth="1"/>
    <col min="15633" max="15633" width="0" style="18" hidden="1" customWidth="1"/>
    <col min="15634" max="15635" width="8.1796875" style="18" customWidth="1"/>
    <col min="15636" max="15636" width="8.7265625" style="18" customWidth="1"/>
    <col min="15637" max="15637" width="0" style="18" hidden="1" customWidth="1"/>
    <col min="15638" max="15872" width="9" style="18"/>
    <col min="15873" max="15873" width="5" style="18" customWidth="1"/>
    <col min="15874" max="15875" width="8.1796875" style="18" customWidth="1"/>
    <col min="15876" max="15877" width="0" style="18" hidden="1" customWidth="1"/>
    <col min="15878" max="15878" width="8.1796875" style="18" customWidth="1"/>
    <col min="15879" max="15885" width="0" style="18" hidden="1" customWidth="1"/>
    <col min="15886" max="15886" width="7.81640625" style="18" customWidth="1"/>
    <col min="15887" max="15887" width="0" style="18" hidden="1" customWidth="1"/>
    <col min="15888" max="15888" width="9.81640625" style="18" customWidth="1"/>
    <col min="15889" max="15889" width="0" style="18" hidden="1" customWidth="1"/>
    <col min="15890" max="15891" width="8.1796875" style="18" customWidth="1"/>
    <col min="15892" max="15892" width="8.7265625" style="18" customWidth="1"/>
    <col min="15893" max="15893" width="0" style="18" hidden="1" customWidth="1"/>
    <col min="15894" max="16128" width="9" style="18"/>
    <col min="16129" max="16129" width="5" style="18" customWidth="1"/>
    <col min="16130" max="16131" width="8.1796875" style="18" customWidth="1"/>
    <col min="16132" max="16133" width="0" style="18" hidden="1" customWidth="1"/>
    <col min="16134" max="16134" width="8.1796875" style="18" customWidth="1"/>
    <col min="16135" max="16141" width="0" style="18" hidden="1" customWidth="1"/>
    <col min="16142" max="16142" width="7.81640625" style="18" customWidth="1"/>
    <col min="16143" max="16143" width="0" style="18" hidden="1" customWidth="1"/>
    <col min="16144" max="16144" width="9.81640625" style="18" customWidth="1"/>
    <col min="16145" max="16145" width="0" style="18" hidden="1" customWidth="1"/>
    <col min="16146" max="16147" width="8.1796875" style="18" customWidth="1"/>
    <col min="16148" max="16148" width="8.7265625" style="18" customWidth="1"/>
    <col min="16149" max="16149" width="0" style="18" hidden="1" customWidth="1"/>
    <col min="16150" max="16384" width="9" style="18"/>
  </cols>
  <sheetData>
    <row r="1" spans="1:22" x14ac:dyDescent="0.2">
      <c r="A1" s="48"/>
      <c r="B1" s="373" t="s">
        <v>29</v>
      </c>
      <c r="C1" s="373"/>
      <c r="J1" s="43" t="s">
        <v>48</v>
      </c>
      <c r="K1" s="43" t="s">
        <v>47</v>
      </c>
      <c r="O1" s="19"/>
      <c r="P1" s="81">
        <v>3.0000000000000001E-3</v>
      </c>
      <c r="Q1" s="80"/>
      <c r="T1" s="43" t="s">
        <v>60</v>
      </c>
      <c r="V1" s="43" t="s">
        <v>337</v>
      </c>
    </row>
    <row r="2" spans="1:22" x14ac:dyDescent="0.2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148" t="s">
        <v>253</v>
      </c>
      <c r="Q2" s="67"/>
      <c r="R2" s="46" t="s">
        <v>39</v>
      </c>
      <c r="S2" s="46" t="s">
        <v>38</v>
      </c>
      <c r="T2" s="46" t="s">
        <v>58</v>
      </c>
      <c r="U2" s="67" t="s">
        <v>254</v>
      </c>
      <c r="V2" s="43">
        <v>2.3E-3</v>
      </c>
    </row>
    <row r="3" spans="1:22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149">
        <v>-7.4579083079722938E-4</v>
      </c>
      <c r="G3" s="25"/>
      <c r="H3" s="26"/>
      <c r="I3" s="39"/>
      <c r="J3" s="32">
        <f>B_(A3,A5)</f>
        <v>0.49626867989791179</v>
      </c>
      <c r="K3" s="32">
        <f>A_(A3,A5,V2)</f>
        <v>1</v>
      </c>
      <c r="L3" s="51">
        <f>B5/B3*K3*EXP(-J3*F3)</f>
        <v>0.9986555466407514</v>
      </c>
      <c r="M3" s="63" t="s">
        <v>37</v>
      </c>
      <c r="N3" s="55"/>
      <c r="O3" s="61" t="s">
        <v>36</v>
      </c>
      <c r="Q3" s="21"/>
      <c r="R3" s="51"/>
      <c r="S3" s="150" t="s">
        <v>255</v>
      </c>
      <c r="T3" s="151">
        <f>T16*1000000</f>
        <v>5.8658048036897004E-10</v>
      </c>
      <c r="U3" s="79"/>
      <c r="V3" s="37"/>
    </row>
    <row r="4" spans="1:22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>$F$3</f>
        <v>-7.4579083079722938E-4</v>
      </c>
      <c r="G4" s="38"/>
      <c r="H4" s="26"/>
      <c r="I4" s="39"/>
      <c r="J4" s="60" t="s">
        <v>35</v>
      </c>
      <c r="K4" s="60" t="s">
        <v>34</v>
      </c>
      <c r="L4" s="51"/>
      <c r="M4" s="59"/>
      <c r="N4" s="152" t="s">
        <v>256</v>
      </c>
      <c r="O4" s="58"/>
      <c r="P4" s="49"/>
      <c r="Q4" s="21"/>
      <c r="R4" s="51"/>
      <c r="S4" s="51"/>
      <c r="T4" s="32"/>
      <c r="U4" s="79"/>
      <c r="V4" s="37"/>
    </row>
    <row r="5" spans="1:22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ref="F5:F15" si="1">$F$3</f>
        <v>-7.4579083079722938E-4</v>
      </c>
      <c r="G5" s="38"/>
      <c r="H5" s="26"/>
      <c r="I5" s="25"/>
      <c r="J5" s="32">
        <f>B_(A5,A7)</f>
        <v>0.49626867989791179</v>
      </c>
      <c r="K5" s="32">
        <f>A_(A5,A7,V2)</f>
        <v>0.9999993558505097</v>
      </c>
      <c r="L5" s="51">
        <f>B7/B5*K5*EXP(-J5*F5)</f>
        <v>0.99869204291433689</v>
      </c>
      <c r="M5" s="63" t="s">
        <v>33</v>
      </c>
      <c r="N5" s="152" t="s">
        <v>257</v>
      </c>
      <c r="O5" s="61" t="s">
        <v>32</v>
      </c>
      <c r="P5" s="52"/>
      <c r="Q5" s="75"/>
      <c r="R5" s="51"/>
      <c r="S5" s="51"/>
      <c r="T5" s="32"/>
      <c r="U5" s="79"/>
      <c r="V5" s="37"/>
    </row>
    <row r="6" spans="1:22" ht="12" customHeight="1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-7.4579083079722938E-4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R6" s="153"/>
      <c r="S6" s="153"/>
      <c r="T6" s="32"/>
      <c r="U6" s="79"/>
      <c r="V6" s="37"/>
    </row>
    <row r="7" spans="1:22" ht="12" customHeight="1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-7.4579083079722938E-4</v>
      </c>
      <c r="G7" s="30"/>
      <c r="H7" s="26"/>
      <c r="I7" s="30"/>
      <c r="J7" s="32">
        <f>B_(A7,A9)</f>
        <v>0.49626867989791179</v>
      </c>
      <c r="K7" s="32">
        <f>A_(A7,A9,V2)</f>
        <v>0.99999809380969973</v>
      </c>
      <c r="L7" s="51">
        <f>B9/B7*K7*EXP(-J7*F7)</f>
        <v>0.99861770102296465</v>
      </c>
      <c r="M7" s="30" t="s">
        <v>13</v>
      </c>
      <c r="N7" s="55">
        <f>(1/L7-1)*360/182.5</f>
        <v>2.7305011181228693E-3</v>
      </c>
      <c r="O7" s="30" t="s">
        <v>13</v>
      </c>
      <c r="P7" s="376"/>
      <c r="Q7" s="376"/>
      <c r="R7" s="376"/>
      <c r="S7" s="376"/>
      <c r="T7" s="32"/>
      <c r="U7" s="79"/>
      <c r="V7" s="37"/>
    </row>
    <row r="8" spans="1:22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-7.4579083079722938E-4</v>
      </c>
      <c r="G8" s="35"/>
      <c r="H8" s="26"/>
      <c r="I8" s="25"/>
      <c r="L8" s="51"/>
      <c r="M8" s="51"/>
      <c r="N8" s="55"/>
      <c r="O8" s="58"/>
      <c r="Q8" s="153"/>
      <c r="U8" s="19"/>
    </row>
    <row r="9" spans="1:22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-7.4579083079722938E-4</v>
      </c>
      <c r="G9" s="35"/>
      <c r="H9" s="26"/>
      <c r="I9" s="25"/>
      <c r="J9" s="32">
        <f>B_(A9,A11)</f>
        <v>0.49626867989791179</v>
      </c>
      <c r="K9" s="32">
        <f>A_(A9,A11,V2)</f>
        <v>0.99999624162395029</v>
      </c>
      <c r="L9" s="51">
        <f>B11/B9*K9*EXP(-J9*F9)</f>
        <v>0.99869322479393419</v>
      </c>
      <c r="M9" s="51"/>
      <c r="N9" s="55">
        <f>(1/L9-1)*360/182.5</f>
        <v>2.5811212970060795E-3</v>
      </c>
      <c r="O9" s="54"/>
      <c r="P9" s="154">
        <f>N7*182.5/360-$P$1/2</f>
        <v>-1.1578762761826769E-4</v>
      </c>
      <c r="Q9" s="155"/>
      <c r="R9" s="51">
        <f>B_(A9,$A$15)</f>
        <v>1.4667506055633348</v>
      </c>
      <c r="S9" s="51">
        <f>A_(A9,$A$15,V2)</f>
        <v>0.99998349114584328</v>
      </c>
      <c r="T9" s="32">
        <f>P9*B9/S9*EXP(R9*F9)</f>
        <v>-1.1506936525466209E-4</v>
      </c>
      <c r="U9" s="70" t="s">
        <v>55</v>
      </c>
    </row>
    <row r="10" spans="1:22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-7.4579083079722938E-4</v>
      </c>
      <c r="G10" s="27"/>
      <c r="H10" s="26"/>
      <c r="I10" s="25"/>
      <c r="L10" s="51"/>
      <c r="M10" s="51"/>
      <c r="N10" s="57"/>
      <c r="O10" s="56"/>
      <c r="P10" s="76"/>
      <c r="Q10" s="19"/>
      <c r="R10" s="70"/>
      <c r="S10" s="70"/>
      <c r="U10" s="19"/>
    </row>
    <row r="11" spans="1:22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-7.4579083079722938E-4</v>
      </c>
      <c r="G11" s="27"/>
      <c r="H11" s="26"/>
      <c r="I11" s="25"/>
      <c r="J11" s="32">
        <f>B_(A11,A13)</f>
        <v>0.49626867989791179</v>
      </c>
      <c r="K11" s="32">
        <f>A_(A11,A13,V2)</f>
        <v>0.99999382607937826</v>
      </c>
      <c r="L11" s="51">
        <f>B13/B11*K11*EXP(-J11*F11)</f>
        <v>0.99837275273751558</v>
      </c>
      <c r="M11" s="51"/>
      <c r="N11" s="55">
        <f>(1/L11-1)*360/182.5</f>
        <v>3.2151442428560808E-3</v>
      </c>
      <c r="O11" s="54"/>
      <c r="P11" s="154">
        <f>N9*182.5/360-$P$1/2</f>
        <v>-1.9151489804552905E-4</v>
      </c>
      <c r="R11" s="51">
        <f>B_(A11,$A$15)</f>
        <v>0.98514888171639492</v>
      </c>
      <c r="S11" s="51">
        <f>A_(A11,$A$15,V2)</f>
        <v>0.99998534330797639</v>
      </c>
      <c r="T11" s="32">
        <f>P11*B11/S11*EXP(R11*F11)</f>
        <v>-1.9007644740555107E-4</v>
      </c>
      <c r="U11" s="70" t="s">
        <v>51</v>
      </c>
    </row>
    <row r="12" spans="1:22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-7.4579083079722938E-4</v>
      </c>
      <c r="G12" s="27"/>
      <c r="H12" s="26"/>
      <c r="I12" s="25"/>
      <c r="L12" s="51"/>
      <c r="M12" s="51"/>
      <c r="P12" s="75"/>
      <c r="Q12" s="19"/>
      <c r="U12" s="19"/>
    </row>
    <row r="13" spans="1:22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-7.4579083079722938E-4</v>
      </c>
      <c r="G13" s="27"/>
      <c r="H13" s="26"/>
      <c r="I13" s="25"/>
      <c r="J13" s="32">
        <f>B_(A13,A15)</f>
        <v>0.49626867989791179</v>
      </c>
      <c r="K13" s="32">
        <f>A_(A13,A15,V2)</f>
        <v>0.99999087303219969</v>
      </c>
      <c r="L13" s="51">
        <f>B15/B13*K13*EXP(-J13*F13)</f>
        <v>0.99832445513062107</v>
      </c>
      <c r="M13" s="51"/>
      <c r="N13" s="55">
        <f>(1/L13-1)*360/182.5</f>
        <v>3.310731679350152E-3</v>
      </c>
      <c r="O13" s="54"/>
      <c r="P13" s="154">
        <f>N11*182.5/360-$P$1/2</f>
        <v>1.2989951200342983E-4</v>
      </c>
      <c r="Q13" s="30"/>
      <c r="R13" s="51">
        <f>B_(A13,$A$15)</f>
        <v>0.49626867989791179</v>
      </c>
      <c r="S13" s="51">
        <f>A_(A13,$A$15,V2)</f>
        <v>0.99999087303219969</v>
      </c>
      <c r="T13" s="32">
        <f>P13*B13/S13*EXP(R13*F13)</f>
        <v>1.287134314991694E-4</v>
      </c>
      <c r="U13" s="30" t="s">
        <v>13</v>
      </c>
    </row>
    <row r="14" spans="1:22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-7.4579083079722938E-4</v>
      </c>
      <c r="G14" s="27"/>
      <c r="H14" s="26"/>
      <c r="I14" s="25"/>
      <c r="Q14" s="19"/>
    </row>
    <row r="15" spans="1:22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-7.4579083079722938E-4</v>
      </c>
      <c r="G15" s="27"/>
      <c r="H15" s="26"/>
      <c r="I15" s="25"/>
      <c r="P15" s="154">
        <f>N13*182.5/360-$P$1/2</f>
        <v>1.7835703189278537E-4</v>
      </c>
      <c r="Q15" s="75"/>
      <c r="R15" s="74">
        <f>B_(A15,$A$15)</f>
        <v>0</v>
      </c>
      <c r="S15" s="51">
        <f>A_(A15,$A$15,V2)</f>
        <v>1</v>
      </c>
      <c r="T15" s="32">
        <f>P15*B15/S15*EXP(R15*F15)</f>
        <v>1.7643238116163033E-4</v>
      </c>
    </row>
    <row r="16" spans="1:22" ht="12.5" thickBot="1" x14ac:dyDescent="0.25">
      <c r="A16" s="36">
        <v>3.25</v>
      </c>
      <c r="B16" s="32">
        <v>0.98801300000000003</v>
      </c>
      <c r="C16" s="43"/>
      <c r="E16" s="21"/>
      <c r="R16" s="73"/>
      <c r="S16" s="72" t="s">
        <v>50</v>
      </c>
      <c r="T16" s="71">
        <f>SUM(T9:T15)</f>
        <v>5.8658048036897004E-16</v>
      </c>
      <c r="U16" s="70" t="s">
        <v>49</v>
      </c>
    </row>
    <row r="17" ht="12.5" thickTop="1" x14ac:dyDescent="0.2"/>
  </sheetData>
  <mergeCells count="2">
    <mergeCell ref="B1:C1"/>
    <mergeCell ref="P7:S7"/>
  </mergeCells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/>
  <dimension ref="A1:AG18"/>
  <sheetViews>
    <sheetView showGridLines="0" workbookViewId="0"/>
  </sheetViews>
  <sheetFormatPr defaultRowHeight="12" x14ac:dyDescent="0.2"/>
  <cols>
    <col min="1" max="1" width="5" style="18" customWidth="1"/>
    <col min="2" max="2" width="8.453125" style="18" bestFit="1" customWidth="1"/>
    <col min="3" max="3" width="8.1796875" style="18" hidden="1" customWidth="1"/>
    <col min="4" max="4" width="1.7265625" style="20" hidden="1" customWidth="1"/>
    <col min="5" max="5" width="9.26953125" style="18" hidden="1" customWidth="1"/>
    <col min="6" max="6" width="8.453125" style="43" bestFit="1" customWidth="1"/>
    <col min="7" max="7" width="1.7265625" style="19" hidden="1" customWidth="1"/>
    <col min="8" max="8" width="1.7265625" style="18" hidden="1" customWidth="1"/>
    <col min="9" max="9" width="1.7265625" style="19" hidden="1" customWidth="1"/>
    <col min="10" max="11" width="10" style="43" hidden="1" customWidth="1"/>
    <col min="12" max="12" width="8.54296875" style="18" hidden="1" customWidth="1"/>
    <col min="13" max="13" width="19" style="18" hidden="1" customWidth="1"/>
    <col min="14" max="14" width="7.81640625" style="49" hidden="1" customWidth="1"/>
    <col min="15" max="15" width="16" style="18" hidden="1" customWidth="1"/>
    <col min="16" max="16" width="9.81640625" style="18" hidden="1" customWidth="1"/>
    <col min="17" max="17" width="8.54296875" style="18" hidden="1" customWidth="1"/>
    <col min="18" max="19" width="8.1796875" style="18" hidden="1" customWidth="1"/>
    <col min="20" max="20" width="8.7265625" style="43" hidden="1" customWidth="1"/>
    <col min="21" max="21" width="22.81640625" style="18" hidden="1" customWidth="1"/>
    <col min="22" max="22" width="7" style="18" bestFit="1" customWidth="1"/>
    <col min="23" max="23" width="6.7265625" style="18" hidden="1" customWidth="1"/>
    <col min="24" max="24" width="8.453125" style="18" bestFit="1" customWidth="1"/>
    <col min="25" max="25" width="0.81640625" style="18" customWidth="1"/>
    <col min="26" max="26" width="9.1796875" style="18" customWidth="1"/>
    <col min="27" max="27" width="7.54296875" style="18" customWidth="1"/>
    <col min="28" max="28" width="7.81640625" style="18" customWidth="1"/>
    <col min="29" max="29" width="7.7265625" style="18" customWidth="1"/>
    <col min="30" max="31" width="5.7265625" style="18" customWidth="1"/>
    <col min="32" max="32" width="8.453125" style="18" customWidth="1"/>
    <col min="33" max="33" width="9.81640625" style="18" customWidth="1"/>
    <col min="34" max="256" width="9" style="18"/>
    <col min="257" max="257" width="5" style="18" customWidth="1"/>
    <col min="258" max="258" width="8.1796875" style="18" customWidth="1"/>
    <col min="259" max="261" width="0" style="18" hidden="1" customWidth="1"/>
    <col min="262" max="262" width="8.1796875" style="18" customWidth="1"/>
    <col min="263" max="277" width="0" style="18" hidden="1" customWidth="1"/>
    <col min="278" max="278" width="6.7265625" style="18" customWidth="1"/>
    <col min="279" max="279" width="0" style="18" hidden="1" customWidth="1"/>
    <col min="280" max="280" width="8.7265625" style="18" customWidth="1"/>
    <col min="281" max="281" width="0.81640625" style="18" customWidth="1"/>
    <col min="282" max="282" width="9.81640625" style="18" customWidth="1"/>
    <col min="283" max="283" width="23.453125" style="18" customWidth="1"/>
    <col min="284" max="284" width="7.81640625" style="18" customWidth="1"/>
    <col min="285" max="285" width="7.7265625" style="18" customWidth="1"/>
    <col min="286" max="287" width="5.7265625" style="18" customWidth="1"/>
    <col min="288" max="288" width="8.453125" style="18" customWidth="1"/>
    <col min="289" max="289" width="16.54296875" style="18" customWidth="1"/>
    <col min="290" max="512" width="9" style="18"/>
    <col min="513" max="513" width="5" style="18" customWidth="1"/>
    <col min="514" max="514" width="8.1796875" style="18" customWidth="1"/>
    <col min="515" max="517" width="0" style="18" hidden="1" customWidth="1"/>
    <col min="518" max="518" width="8.1796875" style="18" customWidth="1"/>
    <col min="519" max="533" width="0" style="18" hidden="1" customWidth="1"/>
    <col min="534" max="534" width="6.7265625" style="18" customWidth="1"/>
    <col min="535" max="535" width="0" style="18" hidden="1" customWidth="1"/>
    <col min="536" max="536" width="8.7265625" style="18" customWidth="1"/>
    <col min="537" max="537" width="0.81640625" style="18" customWidth="1"/>
    <col min="538" max="538" width="9.81640625" style="18" customWidth="1"/>
    <col min="539" max="539" width="23.453125" style="18" customWidth="1"/>
    <col min="540" max="540" width="7.81640625" style="18" customWidth="1"/>
    <col min="541" max="541" width="7.7265625" style="18" customWidth="1"/>
    <col min="542" max="543" width="5.7265625" style="18" customWidth="1"/>
    <col min="544" max="544" width="8.453125" style="18" customWidth="1"/>
    <col min="545" max="545" width="16.54296875" style="18" customWidth="1"/>
    <col min="546" max="768" width="9" style="18"/>
    <col min="769" max="769" width="5" style="18" customWidth="1"/>
    <col min="770" max="770" width="8.1796875" style="18" customWidth="1"/>
    <col min="771" max="773" width="0" style="18" hidden="1" customWidth="1"/>
    <col min="774" max="774" width="8.1796875" style="18" customWidth="1"/>
    <col min="775" max="789" width="0" style="18" hidden="1" customWidth="1"/>
    <col min="790" max="790" width="6.7265625" style="18" customWidth="1"/>
    <col min="791" max="791" width="0" style="18" hidden="1" customWidth="1"/>
    <col min="792" max="792" width="8.7265625" style="18" customWidth="1"/>
    <col min="793" max="793" width="0.81640625" style="18" customWidth="1"/>
    <col min="794" max="794" width="9.81640625" style="18" customWidth="1"/>
    <col min="795" max="795" width="23.453125" style="18" customWidth="1"/>
    <col min="796" max="796" width="7.81640625" style="18" customWidth="1"/>
    <col min="797" max="797" width="7.7265625" style="18" customWidth="1"/>
    <col min="798" max="799" width="5.7265625" style="18" customWidth="1"/>
    <col min="800" max="800" width="8.453125" style="18" customWidth="1"/>
    <col min="801" max="801" width="16.54296875" style="18" customWidth="1"/>
    <col min="802" max="1024" width="9" style="18"/>
    <col min="1025" max="1025" width="5" style="18" customWidth="1"/>
    <col min="1026" max="1026" width="8.1796875" style="18" customWidth="1"/>
    <col min="1027" max="1029" width="0" style="18" hidden="1" customWidth="1"/>
    <col min="1030" max="1030" width="8.1796875" style="18" customWidth="1"/>
    <col min="1031" max="1045" width="0" style="18" hidden="1" customWidth="1"/>
    <col min="1046" max="1046" width="6.7265625" style="18" customWidth="1"/>
    <col min="1047" max="1047" width="0" style="18" hidden="1" customWidth="1"/>
    <col min="1048" max="1048" width="8.7265625" style="18" customWidth="1"/>
    <col min="1049" max="1049" width="0.81640625" style="18" customWidth="1"/>
    <col min="1050" max="1050" width="9.81640625" style="18" customWidth="1"/>
    <col min="1051" max="1051" width="23.453125" style="18" customWidth="1"/>
    <col min="1052" max="1052" width="7.81640625" style="18" customWidth="1"/>
    <col min="1053" max="1053" width="7.7265625" style="18" customWidth="1"/>
    <col min="1054" max="1055" width="5.7265625" style="18" customWidth="1"/>
    <col min="1056" max="1056" width="8.453125" style="18" customWidth="1"/>
    <col min="1057" max="1057" width="16.54296875" style="18" customWidth="1"/>
    <col min="1058" max="1280" width="9" style="18"/>
    <col min="1281" max="1281" width="5" style="18" customWidth="1"/>
    <col min="1282" max="1282" width="8.1796875" style="18" customWidth="1"/>
    <col min="1283" max="1285" width="0" style="18" hidden="1" customWidth="1"/>
    <col min="1286" max="1286" width="8.1796875" style="18" customWidth="1"/>
    <col min="1287" max="1301" width="0" style="18" hidden="1" customWidth="1"/>
    <col min="1302" max="1302" width="6.7265625" style="18" customWidth="1"/>
    <col min="1303" max="1303" width="0" style="18" hidden="1" customWidth="1"/>
    <col min="1304" max="1304" width="8.7265625" style="18" customWidth="1"/>
    <col min="1305" max="1305" width="0.81640625" style="18" customWidth="1"/>
    <col min="1306" max="1306" width="9.81640625" style="18" customWidth="1"/>
    <col min="1307" max="1307" width="23.453125" style="18" customWidth="1"/>
    <col min="1308" max="1308" width="7.81640625" style="18" customWidth="1"/>
    <col min="1309" max="1309" width="7.7265625" style="18" customWidth="1"/>
    <col min="1310" max="1311" width="5.7265625" style="18" customWidth="1"/>
    <col min="1312" max="1312" width="8.453125" style="18" customWidth="1"/>
    <col min="1313" max="1313" width="16.54296875" style="18" customWidth="1"/>
    <col min="1314" max="1536" width="9" style="18"/>
    <col min="1537" max="1537" width="5" style="18" customWidth="1"/>
    <col min="1538" max="1538" width="8.1796875" style="18" customWidth="1"/>
    <col min="1539" max="1541" width="0" style="18" hidden="1" customWidth="1"/>
    <col min="1542" max="1542" width="8.1796875" style="18" customWidth="1"/>
    <col min="1543" max="1557" width="0" style="18" hidden="1" customWidth="1"/>
    <col min="1558" max="1558" width="6.7265625" style="18" customWidth="1"/>
    <col min="1559" max="1559" width="0" style="18" hidden="1" customWidth="1"/>
    <col min="1560" max="1560" width="8.7265625" style="18" customWidth="1"/>
    <col min="1561" max="1561" width="0.81640625" style="18" customWidth="1"/>
    <col min="1562" max="1562" width="9.81640625" style="18" customWidth="1"/>
    <col min="1563" max="1563" width="23.453125" style="18" customWidth="1"/>
    <col min="1564" max="1564" width="7.81640625" style="18" customWidth="1"/>
    <col min="1565" max="1565" width="7.7265625" style="18" customWidth="1"/>
    <col min="1566" max="1567" width="5.7265625" style="18" customWidth="1"/>
    <col min="1568" max="1568" width="8.453125" style="18" customWidth="1"/>
    <col min="1569" max="1569" width="16.54296875" style="18" customWidth="1"/>
    <col min="1570" max="1792" width="9" style="18"/>
    <col min="1793" max="1793" width="5" style="18" customWidth="1"/>
    <col min="1794" max="1794" width="8.1796875" style="18" customWidth="1"/>
    <col min="1795" max="1797" width="0" style="18" hidden="1" customWidth="1"/>
    <col min="1798" max="1798" width="8.1796875" style="18" customWidth="1"/>
    <col min="1799" max="1813" width="0" style="18" hidden="1" customWidth="1"/>
    <col min="1814" max="1814" width="6.7265625" style="18" customWidth="1"/>
    <col min="1815" max="1815" width="0" style="18" hidden="1" customWidth="1"/>
    <col min="1816" max="1816" width="8.7265625" style="18" customWidth="1"/>
    <col min="1817" max="1817" width="0.81640625" style="18" customWidth="1"/>
    <col min="1818" max="1818" width="9.81640625" style="18" customWidth="1"/>
    <col min="1819" max="1819" width="23.453125" style="18" customWidth="1"/>
    <col min="1820" max="1820" width="7.81640625" style="18" customWidth="1"/>
    <col min="1821" max="1821" width="7.7265625" style="18" customWidth="1"/>
    <col min="1822" max="1823" width="5.7265625" style="18" customWidth="1"/>
    <col min="1824" max="1824" width="8.453125" style="18" customWidth="1"/>
    <col min="1825" max="1825" width="16.54296875" style="18" customWidth="1"/>
    <col min="1826" max="2048" width="9" style="18"/>
    <col min="2049" max="2049" width="5" style="18" customWidth="1"/>
    <col min="2050" max="2050" width="8.1796875" style="18" customWidth="1"/>
    <col min="2051" max="2053" width="0" style="18" hidden="1" customWidth="1"/>
    <col min="2054" max="2054" width="8.1796875" style="18" customWidth="1"/>
    <col min="2055" max="2069" width="0" style="18" hidden="1" customWidth="1"/>
    <col min="2070" max="2070" width="6.7265625" style="18" customWidth="1"/>
    <col min="2071" max="2071" width="0" style="18" hidden="1" customWidth="1"/>
    <col min="2072" max="2072" width="8.7265625" style="18" customWidth="1"/>
    <col min="2073" max="2073" width="0.81640625" style="18" customWidth="1"/>
    <col min="2074" max="2074" width="9.81640625" style="18" customWidth="1"/>
    <col min="2075" max="2075" width="23.453125" style="18" customWidth="1"/>
    <col min="2076" max="2076" width="7.81640625" style="18" customWidth="1"/>
    <col min="2077" max="2077" width="7.7265625" style="18" customWidth="1"/>
    <col min="2078" max="2079" width="5.7265625" style="18" customWidth="1"/>
    <col min="2080" max="2080" width="8.453125" style="18" customWidth="1"/>
    <col min="2081" max="2081" width="16.54296875" style="18" customWidth="1"/>
    <col min="2082" max="2304" width="9" style="18"/>
    <col min="2305" max="2305" width="5" style="18" customWidth="1"/>
    <col min="2306" max="2306" width="8.1796875" style="18" customWidth="1"/>
    <col min="2307" max="2309" width="0" style="18" hidden="1" customWidth="1"/>
    <col min="2310" max="2310" width="8.1796875" style="18" customWidth="1"/>
    <col min="2311" max="2325" width="0" style="18" hidden="1" customWidth="1"/>
    <col min="2326" max="2326" width="6.7265625" style="18" customWidth="1"/>
    <col min="2327" max="2327" width="0" style="18" hidden="1" customWidth="1"/>
    <col min="2328" max="2328" width="8.7265625" style="18" customWidth="1"/>
    <col min="2329" max="2329" width="0.81640625" style="18" customWidth="1"/>
    <col min="2330" max="2330" width="9.81640625" style="18" customWidth="1"/>
    <col min="2331" max="2331" width="23.453125" style="18" customWidth="1"/>
    <col min="2332" max="2332" width="7.81640625" style="18" customWidth="1"/>
    <col min="2333" max="2333" width="7.7265625" style="18" customWidth="1"/>
    <col min="2334" max="2335" width="5.7265625" style="18" customWidth="1"/>
    <col min="2336" max="2336" width="8.453125" style="18" customWidth="1"/>
    <col min="2337" max="2337" width="16.54296875" style="18" customWidth="1"/>
    <col min="2338" max="2560" width="9" style="18"/>
    <col min="2561" max="2561" width="5" style="18" customWidth="1"/>
    <col min="2562" max="2562" width="8.1796875" style="18" customWidth="1"/>
    <col min="2563" max="2565" width="0" style="18" hidden="1" customWidth="1"/>
    <col min="2566" max="2566" width="8.1796875" style="18" customWidth="1"/>
    <col min="2567" max="2581" width="0" style="18" hidden="1" customWidth="1"/>
    <col min="2582" max="2582" width="6.7265625" style="18" customWidth="1"/>
    <col min="2583" max="2583" width="0" style="18" hidden="1" customWidth="1"/>
    <col min="2584" max="2584" width="8.7265625" style="18" customWidth="1"/>
    <col min="2585" max="2585" width="0.81640625" style="18" customWidth="1"/>
    <col min="2586" max="2586" width="9.81640625" style="18" customWidth="1"/>
    <col min="2587" max="2587" width="23.453125" style="18" customWidth="1"/>
    <col min="2588" max="2588" width="7.81640625" style="18" customWidth="1"/>
    <col min="2589" max="2589" width="7.7265625" style="18" customWidth="1"/>
    <col min="2590" max="2591" width="5.7265625" style="18" customWidth="1"/>
    <col min="2592" max="2592" width="8.453125" style="18" customWidth="1"/>
    <col min="2593" max="2593" width="16.54296875" style="18" customWidth="1"/>
    <col min="2594" max="2816" width="9" style="18"/>
    <col min="2817" max="2817" width="5" style="18" customWidth="1"/>
    <col min="2818" max="2818" width="8.1796875" style="18" customWidth="1"/>
    <col min="2819" max="2821" width="0" style="18" hidden="1" customWidth="1"/>
    <col min="2822" max="2822" width="8.1796875" style="18" customWidth="1"/>
    <col min="2823" max="2837" width="0" style="18" hidden="1" customWidth="1"/>
    <col min="2838" max="2838" width="6.7265625" style="18" customWidth="1"/>
    <col min="2839" max="2839" width="0" style="18" hidden="1" customWidth="1"/>
    <col min="2840" max="2840" width="8.7265625" style="18" customWidth="1"/>
    <col min="2841" max="2841" width="0.81640625" style="18" customWidth="1"/>
    <col min="2842" max="2842" width="9.81640625" style="18" customWidth="1"/>
    <col min="2843" max="2843" width="23.453125" style="18" customWidth="1"/>
    <col min="2844" max="2844" width="7.81640625" style="18" customWidth="1"/>
    <col min="2845" max="2845" width="7.7265625" style="18" customWidth="1"/>
    <col min="2846" max="2847" width="5.7265625" style="18" customWidth="1"/>
    <col min="2848" max="2848" width="8.453125" style="18" customWidth="1"/>
    <col min="2849" max="2849" width="16.54296875" style="18" customWidth="1"/>
    <col min="2850" max="3072" width="9" style="18"/>
    <col min="3073" max="3073" width="5" style="18" customWidth="1"/>
    <col min="3074" max="3074" width="8.1796875" style="18" customWidth="1"/>
    <col min="3075" max="3077" width="0" style="18" hidden="1" customWidth="1"/>
    <col min="3078" max="3078" width="8.1796875" style="18" customWidth="1"/>
    <col min="3079" max="3093" width="0" style="18" hidden="1" customWidth="1"/>
    <col min="3094" max="3094" width="6.7265625" style="18" customWidth="1"/>
    <col min="3095" max="3095" width="0" style="18" hidden="1" customWidth="1"/>
    <col min="3096" max="3096" width="8.7265625" style="18" customWidth="1"/>
    <col min="3097" max="3097" width="0.81640625" style="18" customWidth="1"/>
    <col min="3098" max="3098" width="9.81640625" style="18" customWidth="1"/>
    <col min="3099" max="3099" width="23.453125" style="18" customWidth="1"/>
    <col min="3100" max="3100" width="7.81640625" style="18" customWidth="1"/>
    <col min="3101" max="3101" width="7.7265625" style="18" customWidth="1"/>
    <col min="3102" max="3103" width="5.7265625" style="18" customWidth="1"/>
    <col min="3104" max="3104" width="8.453125" style="18" customWidth="1"/>
    <col min="3105" max="3105" width="16.54296875" style="18" customWidth="1"/>
    <col min="3106" max="3328" width="9" style="18"/>
    <col min="3329" max="3329" width="5" style="18" customWidth="1"/>
    <col min="3330" max="3330" width="8.1796875" style="18" customWidth="1"/>
    <col min="3331" max="3333" width="0" style="18" hidden="1" customWidth="1"/>
    <col min="3334" max="3334" width="8.1796875" style="18" customWidth="1"/>
    <col min="3335" max="3349" width="0" style="18" hidden="1" customWidth="1"/>
    <col min="3350" max="3350" width="6.7265625" style="18" customWidth="1"/>
    <col min="3351" max="3351" width="0" style="18" hidden="1" customWidth="1"/>
    <col min="3352" max="3352" width="8.7265625" style="18" customWidth="1"/>
    <col min="3353" max="3353" width="0.81640625" style="18" customWidth="1"/>
    <col min="3354" max="3354" width="9.81640625" style="18" customWidth="1"/>
    <col min="3355" max="3355" width="23.453125" style="18" customWidth="1"/>
    <col min="3356" max="3356" width="7.81640625" style="18" customWidth="1"/>
    <col min="3357" max="3357" width="7.7265625" style="18" customWidth="1"/>
    <col min="3358" max="3359" width="5.7265625" style="18" customWidth="1"/>
    <col min="3360" max="3360" width="8.453125" style="18" customWidth="1"/>
    <col min="3361" max="3361" width="16.54296875" style="18" customWidth="1"/>
    <col min="3362" max="3584" width="9" style="18"/>
    <col min="3585" max="3585" width="5" style="18" customWidth="1"/>
    <col min="3586" max="3586" width="8.1796875" style="18" customWidth="1"/>
    <col min="3587" max="3589" width="0" style="18" hidden="1" customWidth="1"/>
    <col min="3590" max="3590" width="8.1796875" style="18" customWidth="1"/>
    <col min="3591" max="3605" width="0" style="18" hidden="1" customWidth="1"/>
    <col min="3606" max="3606" width="6.7265625" style="18" customWidth="1"/>
    <col min="3607" max="3607" width="0" style="18" hidden="1" customWidth="1"/>
    <col min="3608" max="3608" width="8.7265625" style="18" customWidth="1"/>
    <col min="3609" max="3609" width="0.81640625" style="18" customWidth="1"/>
    <col min="3610" max="3610" width="9.81640625" style="18" customWidth="1"/>
    <col min="3611" max="3611" width="23.453125" style="18" customWidth="1"/>
    <col min="3612" max="3612" width="7.81640625" style="18" customWidth="1"/>
    <col min="3613" max="3613" width="7.7265625" style="18" customWidth="1"/>
    <col min="3614" max="3615" width="5.7265625" style="18" customWidth="1"/>
    <col min="3616" max="3616" width="8.453125" style="18" customWidth="1"/>
    <col min="3617" max="3617" width="16.54296875" style="18" customWidth="1"/>
    <col min="3618" max="3840" width="9" style="18"/>
    <col min="3841" max="3841" width="5" style="18" customWidth="1"/>
    <col min="3842" max="3842" width="8.1796875" style="18" customWidth="1"/>
    <col min="3843" max="3845" width="0" style="18" hidden="1" customWidth="1"/>
    <col min="3846" max="3846" width="8.1796875" style="18" customWidth="1"/>
    <col min="3847" max="3861" width="0" style="18" hidden="1" customWidth="1"/>
    <col min="3862" max="3862" width="6.7265625" style="18" customWidth="1"/>
    <col min="3863" max="3863" width="0" style="18" hidden="1" customWidth="1"/>
    <col min="3864" max="3864" width="8.7265625" style="18" customWidth="1"/>
    <col min="3865" max="3865" width="0.81640625" style="18" customWidth="1"/>
    <col min="3866" max="3866" width="9.81640625" style="18" customWidth="1"/>
    <col min="3867" max="3867" width="23.453125" style="18" customWidth="1"/>
    <col min="3868" max="3868" width="7.81640625" style="18" customWidth="1"/>
    <col min="3869" max="3869" width="7.7265625" style="18" customWidth="1"/>
    <col min="3870" max="3871" width="5.7265625" style="18" customWidth="1"/>
    <col min="3872" max="3872" width="8.453125" style="18" customWidth="1"/>
    <col min="3873" max="3873" width="16.54296875" style="18" customWidth="1"/>
    <col min="3874" max="4096" width="9" style="18"/>
    <col min="4097" max="4097" width="5" style="18" customWidth="1"/>
    <col min="4098" max="4098" width="8.1796875" style="18" customWidth="1"/>
    <col min="4099" max="4101" width="0" style="18" hidden="1" customWidth="1"/>
    <col min="4102" max="4102" width="8.1796875" style="18" customWidth="1"/>
    <col min="4103" max="4117" width="0" style="18" hidden="1" customWidth="1"/>
    <col min="4118" max="4118" width="6.7265625" style="18" customWidth="1"/>
    <col min="4119" max="4119" width="0" style="18" hidden="1" customWidth="1"/>
    <col min="4120" max="4120" width="8.7265625" style="18" customWidth="1"/>
    <col min="4121" max="4121" width="0.81640625" style="18" customWidth="1"/>
    <col min="4122" max="4122" width="9.81640625" style="18" customWidth="1"/>
    <col min="4123" max="4123" width="23.453125" style="18" customWidth="1"/>
    <col min="4124" max="4124" width="7.81640625" style="18" customWidth="1"/>
    <col min="4125" max="4125" width="7.7265625" style="18" customWidth="1"/>
    <col min="4126" max="4127" width="5.7265625" style="18" customWidth="1"/>
    <col min="4128" max="4128" width="8.453125" style="18" customWidth="1"/>
    <col min="4129" max="4129" width="16.54296875" style="18" customWidth="1"/>
    <col min="4130" max="4352" width="9" style="18"/>
    <col min="4353" max="4353" width="5" style="18" customWidth="1"/>
    <col min="4354" max="4354" width="8.1796875" style="18" customWidth="1"/>
    <col min="4355" max="4357" width="0" style="18" hidden="1" customWidth="1"/>
    <col min="4358" max="4358" width="8.1796875" style="18" customWidth="1"/>
    <col min="4359" max="4373" width="0" style="18" hidden="1" customWidth="1"/>
    <col min="4374" max="4374" width="6.7265625" style="18" customWidth="1"/>
    <col min="4375" max="4375" width="0" style="18" hidden="1" customWidth="1"/>
    <col min="4376" max="4376" width="8.7265625" style="18" customWidth="1"/>
    <col min="4377" max="4377" width="0.81640625" style="18" customWidth="1"/>
    <col min="4378" max="4378" width="9.81640625" style="18" customWidth="1"/>
    <col min="4379" max="4379" width="23.453125" style="18" customWidth="1"/>
    <col min="4380" max="4380" width="7.81640625" style="18" customWidth="1"/>
    <col min="4381" max="4381" width="7.7265625" style="18" customWidth="1"/>
    <col min="4382" max="4383" width="5.7265625" style="18" customWidth="1"/>
    <col min="4384" max="4384" width="8.453125" style="18" customWidth="1"/>
    <col min="4385" max="4385" width="16.54296875" style="18" customWidth="1"/>
    <col min="4386" max="4608" width="9" style="18"/>
    <col min="4609" max="4609" width="5" style="18" customWidth="1"/>
    <col min="4610" max="4610" width="8.1796875" style="18" customWidth="1"/>
    <col min="4611" max="4613" width="0" style="18" hidden="1" customWidth="1"/>
    <col min="4614" max="4614" width="8.1796875" style="18" customWidth="1"/>
    <col min="4615" max="4629" width="0" style="18" hidden="1" customWidth="1"/>
    <col min="4630" max="4630" width="6.7265625" style="18" customWidth="1"/>
    <col min="4631" max="4631" width="0" style="18" hidden="1" customWidth="1"/>
    <col min="4632" max="4632" width="8.7265625" style="18" customWidth="1"/>
    <col min="4633" max="4633" width="0.81640625" style="18" customWidth="1"/>
    <col min="4634" max="4634" width="9.81640625" style="18" customWidth="1"/>
    <col min="4635" max="4635" width="23.453125" style="18" customWidth="1"/>
    <col min="4636" max="4636" width="7.81640625" style="18" customWidth="1"/>
    <col min="4637" max="4637" width="7.7265625" style="18" customWidth="1"/>
    <col min="4638" max="4639" width="5.7265625" style="18" customWidth="1"/>
    <col min="4640" max="4640" width="8.453125" style="18" customWidth="1"/>
    <col min="4641" max="4641" width="16.54296875" style="18" customWidth="1"/>
    <col min="4642" max="4864" width="9" style="18"/>
    <col min="4865" max="4865" width="5" style="18" customWidth="1"/>
    <col min="4866" max="4866" width="8.1796875" style="18" customWidth="1"/>
    <col min="4867" max="4869" width="0" style="18" hidden="1" customWidth="1"/>
    <col min="4870" max="4870" width="8.1796875" style="18" customWidth="1"/>
    <col min="4871" max="4885" width="0" style="18" hidden="1" customWidth="1"/>
    <col min="4886" max="4886" width="6.7265625" style="18" customWidth="1"/>
    <col min="4887" max="4887" width="0" style="18" hidden="1" customWidth="1"/>
    <col min="4888" max="4888" width="8.7265625" style="18" customWidth="1"/>
    <col min="4889" max="4889" width="0.81640625" style="18" customWidth="1"/>
    <col min="4890" max="4890" width="9.81640625" style="18" customWidth="1"/>
    <col min="4891" max="4891" width="23.453125" style="18" customWidth="1"/>
    <col min="4892" max="4892" width="7.81640625" style="18" customWidth="1"/>
    <col min="4893" max="4893" width="7.7265625" style="18" customWidth="1"/>
    <col min="4894" max="4895" width="5.7265625" style="18" customWidth="1"/>
    <col min="4896" max="4896" width="8.453125" style="18" customWidth="1"/>
    <col min="4897" max="4897" width="16.54296875" style="18" customWidth="1"/>
    <col min="4898" max="5120" width="9" style="18"/>
    <col min="5121" max="5121" width="5" style="18" customWidth="1"/>
    <col min="5122" max="5122" width="8.1796875" style="18" customWidth="1"/>
    <col min="5123" max="5125" width="0" style="18" hidden="1" customWidth="1"/>
    <col min="5126" max="5126" width="8.1796875" style="18" customWidth="1"/>
    <col min="5127" max="5141" width="0" style="18" hidden="1" customWidth="1"/>
    <col min="5142" max="5142" width="6.7265625" style="18" customWidth="1"/>
    <col min="5143" max="5143" width="0" style="18" hidden="1" customWidth="1"/>
    <col min="5144" max="5144" width="8.7265625" style="18" customWidth="1"/>
    <col min="5145" max="5145" width="0.81640625" style="18" customWidth="1"/>
    <col min="5146" max="5146" width="9.81640625" style="18" customWidth="1"/>
    <col min="5147" max="5147" width="23.453125" style="18" customWidth="1"/>
    <col min="5148" max="5148" width="7.81640625" style="18" customWidth="1"/>
    <col min="5149" max="5149" width="7.7265625" style="18" customWidth="1"/>
    <col min="5150" max="5151" width="5.7265625" style="18" customWidth="1"/>
    <col min="5152" max="5152" width="8.453125" style="18" customWidth="1"/>
    <col min="5153" max="5153" width="16.54296875" style="18" customWidth="1"/>
    <col min="5154" max="5376" width="9" style="18"/>
    <col min="5377" max="5377" width="5" style="18" customWidth="1"/>
    <col min="5378" max="5378" width="8.1796875" style="18" customWidth="1"/>
    <col min="5379" max="5381" width="0" style="18" hidden="1" customWidth="1"/>
    <col min="5382" max="5382" width="8.1796875" style="18" customWidth="1"/>
    <col min="5383" max="5397" width="0" style="18" hidden="1" customWidth="1"/>
    <col min="5398" max="5398" width="6.7265625" style="18" customWidth="1"/>
    <col min="5399" max="5399" width="0" style="18" hidden="1" customWidth="1"/>
    <col min="5400" max="5400" width="8.7265625" style="18" customWidth="1"/>
    <col min="5401" max="5401" width="0.81640625" style="18" customWidth="1"/>
    <col min="5402" max="5402" width="9.81640625" style="18" customWidth="1"/>
    <col min="5403" max="5403" width="23.453125" style="18" customWidth="1"/>
    <col min="5404" max="5404" width="7.81640625" style="18" customWidth="1"/>
    <col min="5405" max="5405" width="7.7265625" style="18" customWidth="1"/>
    <col min="5406" max="5407" width="5.7265625" style="18" customWidth="1"/>
    <col min="5408" max="5408" width="8.453125" style="18" customWidth="1"/>
    <col min="5409" max="5409" width="16.54296875" style="18" customWidth="1"/>
    <col min="5410" max="5632" width="9" style="18"/>
    <col min="5633" max="5633" width="5" style="18" customWidth="1"/>
    <col min="5634" max="5634" width="8.1796875" style="18" customWidth="1"/>
    <col min="5635" max="5637" width="0" style="18" hidden="1" customWidth="1"/>
    <col min="5638" max="5638" width="8.1796875" style="18" customWidth="1"/>
    <col min="5639" max="5653" width="0" style="18" hidden="1" customWidth="1"/>
    <col min="5654" max="5654" width="6.7265625" style="18" customWidth="1"/>
    <col min="5655" max="5655" width="0" style="18" hidden="1" customWidth="1"/>
    <col min="5656" max="5656" width="8.7265625" style="18" customWidth="1"/>
    <col min="5657" max="5657" width="0.81640625" style="18" customWidth="1"/>
    <col min="5658" max="5658" width="9.81640625" style="18" customWidth="1"/>
    <col min="5659" max="5659" width="23.453125" style="18" customWidth="1"/>
    <col min="5660" max="5660" width="7.81640625" style="18" customWidth="1"/>
    <col min="5661" max="5661" width="7.7265625" style="18" customWidth="1"/>
    <col min="5662" max="5663" width="5.7265625" style="18" customWidth="1"/>
    <col min="5664" max="5664" width="8.453125" style="18" customWidth="1"/>
    <col min="5665" max="5665" width="16.54296875" style="18" customWidth="1"/>
    <col min="5666" max="5888" width="9" style="18"/>
    <col min="5889" max="5889" width="5" style="18" customWidth="1"/>
    <col min="5890" max="5890" width="8.1796875" style="18" customWidth="1"/>
    <col min="5891" max="5893" width="0" style="18" hidden="1" customWidth="1"/>
    <col min="5894" max="5894" width="8.1796875" style="18" customWidth="1"/>
    <col min="5895" max="5909" width="0" style="18" hidden="1" customWidth="1"/>
    <col min="5910" max="5910" width="6.7265625" style="18" customWidth="1"/>
    <col min="5911" max="5911" width="0" style="18" hidden="1" customWidth="1"/>
    <col min="5912" max="5912" width="8.7265625" style="18" customWidth="1"/>
    <col min="5913" max="5913" width="0.81640625" style="18" customWidth="1"/>
    <col min="5914" max="5914" width="9.81640625" style="18" customWidth="1"/>
    <col min="5915" max="5915" width="23.453125" style="18" customWidth="1"/>
    <col min="5916" max="5916" width="7.81640625" style="18" customWidth="1"/>
    <col min="5917" max="5917" width="7.7265625" style="18" customWidth="1"/>
    <col min="5918" max="5919" width="5.7265625" style="18" customWidth="1"/>
    <col min="5920" max="5920" width="8.453125" style="18" customWidth="1"/>
    <col min="5921" max="5921" width="16.54296875" style="18" customWidth="1"/>
    <col min="5922" max="6144" width="9" style="18"/>
    <col min="6145" max="6145" width="5" style="18" customWidth="1"/>
    <col min="6146" max="6146" width="8.1796875" style="18" customWidth="1"/>
    <col min="6147" max="6149" width="0" style="18" hidden="1" customWidth="1"/>
    <col min="6150" max="6150" width="8.1796875" style="18" customWidth="1"/>
    <col min="6151" max="6165" width="0" style="18" hidden="1" customWidth="1"/>
    <col min="6166" max="6166" width="6.7265625" style="18" customWidth="1"/>
    <col min="6167" max="6167" width="0" style="18" hidden="1" customWidth="1"/>
    <col min="6168" max="6168" width="8.7265625" style="18" customWidth="1"/>
    <col min="6169" max="6169" width="0.81640625" style="18" customWidth="1"/>
    <col min="6170" max="6170" width="9.81640625" style="18" customWidth="1"/>
    <col min="6171" max="6171" width="23.453125" style="18" customWidth="1"/>
    <col min="6172" max="6172" width="7.81640625" style="18" customWidth="1"/>
    <col min="6173" max="6173" width="7.7265625" style="18" customWidth="1"/>
    <col min="6174" max="6175" width="5.7265625" style="18" customWidth="1"/>
    <col min="6176" max="6176" width="8.453125" style="18" customWidth="1"/>
    <col min="6177" max="6177" width="16.54296875" style="18" customWidth="1"/>
    <col min="6178" max="6400" width="9" style="18"/>
    <col min="6401" max="6401" width="5" style="18" customWidth="1"/>
    <col min="6402" max="6402" width="8.1796875" style="18" customWidth="1"/>
    <col min="6403" max="6405" width="0" style="18" hidden="1" customWidth="1"/>
    <col min="6406" max="6406" width="8.1796875" style="18" customWidth="1"/>
    <col min="6407" max="6421" width="0" style="18" hidden="1" customWidth="1"/>
    <col min="6422" max="6422" width="6.7265625" style="18" customWidth="1"/>
    <col min="6423" max="6423" width="0" style="18" hidden="1" customWidth="1"/>
    <col min="6424" max="6424" width="8.7265625" style="18" customWidth="1"/>
    <col min="6425" max="6425" width="0.81640625" style="18" customWidth="1"/>
    <col min="6426" max="6426" width="9.81640625" style="18" customWidth="1"/>
    <col min="6427" max="6427" width="23.453125" style="18" customWidth="1"/>
    <col min="6428" max="6428" width="7.81640625" style="18" customWidth="1"/>
    <col min="6429" max="6429" width="7.7265625" style="18" customWidth="1"/>
    <col min="6430" max="6431" width="5.7265625" style="18" customWidth="1"/>
    <col min="6432" max="6432" width="8.453125" style="18" customWidth="1"/>
    <col min="6433" max="6433" width="16.54296875" style="18" customWidth="1"/>
    <col min="6434" max="6656" width="9" style="18"/>
    <col min="6657" max="6657" width="5" style="18" customWidth="1"/>
    <col min="6658" max="6658" width="8.1796875" style="18" customWidth="1"/>
    <col min="6659" max="6661" width="0" style="18" hidden="1" customWidth="1"/>
    <col min="6662" max="6662" width="8.1796875" style="18" customWidth="1"/>
    <col min="6663" max="6677" width="0" style="18" hidden="1" customWidth="1"/>
    <col min="6678" max="6678" width="6.7265625" style="18" customWidth="1"/>
    <col min="6679" max="6679" width="0" style="18" hidden="1" customWidth="1"/>
    <col min="6680" max="6680" width="8.7265625" style="18" customWidth="1"/>
    <col min="6681" max="6681" width="0.81640625" style="18" customWidth="1"/>
    <col min="6682" max="6682" width="9.81640625" style="18" customWidth="1"/>
    <col min="6683" max="6683" width="23.453125" style="18" customWidth="1"/>
    <col min="6684" max="6684" width="7.81640625" style="18" customWidth="1"/>
    <col min="6685" max="6685" width="7.7265625" style="18" customWidth="1"/>
    <col min="6686" max="6687" width="5.7265625" style="18" customWidth="1"/>
    <col min="6688" max="6688" width="8.453125" style="18" customWidth="1"/>
    <col min="6689" max="6689" width="16.54296875" style="18" customWidth="1"/>
    <col min="6690" max="6912" width="9" style="18"/>
    <col min="6913" max="6913" width="5" style="18" customWidth="1"/>
    <col min="6914" max="6914" width="8.1796875" style="18" customWidth="1"/>
    <col min="6915" max="6917" width="0" style="18" hidden="1" customWidth="1"/>
    <col min="6918" max="6918" width="8.1796875" style="18" customWidth="1"/>
    <col min="6919" max="6933" width="0" style="18" hidden="1" customWidth="1"/>
    <col min="6934" max="6934" width="6.7265625" style="18" customWidth="1"/>
    <col min="6935" max="6935" width="0" style="18" hidden="1" customWidth="1"/>
    <col min="6936" max="6936" width="8.7265625" style="18" customWidth="1"/>
    <col min="6937" max="6937" width="0.81640625" style="18" customWidth="1"/>
    <col min="6938" max="6938" width="9.81640625" style="18" customWidth="1"/>
    <col min="6939" max="6939" width="23.453125" style="18" customWidth="1"/>
    <col min="6940" max="6940" width="7.81640625" style="18" customWidth="1"/>
    <col min="6941" max="6941" width="7.7265625" style="18" customWidth="1"/>
    <col min="6942" max="6943" width="5.7265625" style="18" customWidth="1"/>
    <col min="6944" max="6944" width="8.453125" style="18" customWidth="1"/>
    <col min="6945" max="6945" width="16.54296875" style="18" customWidth="1"/>
    <col min="6946" max="7168" width="9" style="18"/>
    <col min="7169" max="7169" width="5" style="18" customWidth="1"/>
    <col min="7170" max="7170" width="8.1796875" style="18" customWidth="1"/>
    <col min="7171" max="7173" width="0" style="18" hidden="1" customWidth="1"/>
    <col min="7174" max="7174" width="8.1796875" style="18" customWidth="1"/>
    <col min="7175" max="7189" width="0" style="18" hidden="1" customWidth="1"/>
    <col min="7190" max="7190" width="6.7265625" style="18" customWidth="1"/>
    <col min="7191" max="7191" width="0" style="18" hidden="1" customWidth="1"/>
    <col min="7192" max="7192" width="8.7265625" style="18" customWidth="1"/>
    <col min="7193" max="7193" width="0.81640625" style="18" customWidth="1"/>
    <col min="7194" max="7194" width="9.81640625" style="18" customWidth="1"/>
    <col min="7195" max="7195" width="23.453125" style="18" customWidth="1"/>
    <col min="7196" max="7196" width="7.81640625" style="18" customWidth="1"/>
    <col min="7197" max="7197" width="7.7265625" style="18" customWidth="1"/>
    <col min="7198" max="7199" width="5.7265625" style="18" customWidth="1"/>
    <col min="7200" max="7200" width="8.453125" style="18" customWidth="1"/>
    <col min="7201" max="7201" width="16.54296875" style="18" customWidth="1"/>
    <col min="7202" max="7424" width="9" style="18"/>
    <col min="7425" max="7425" width="5" style="18" customWidth="1"/>
    <col min="7426" max="7426" width="8.1796875" style="18" customWidth="1"/>
    <col min="7427" max="7429" width="0" style="18" hidden="1" customWidth="1"/>
    <col min="7430" max="7430" width="8.1796875" style="18" customWidth="1"/>
    <col min="7431" max="7445" width="0" style="18" hidden="1" customWidth="1"/>
    <col min="7446" max="7446" width="6.7265625" style="18" customWidth="1"/>
    <col min="7447" max="7447" width="0" style="18" hidden="1" customWidth="1"/>
    <col min="7448" max="7448" width="8.7265625" style="18" customWidth="1"/>
    <col min="7449" max="7449" width="0.81640625" style="18" customWidth="1"/>
    <col min="7450" max="7450" width="9.81640625" style="18" customWidth="1"/>
    <col min="7451" max="7451" width="23.453125" style="18" customWidth="1"/>
    <col min="7452" max="7452" width="7.81640625" style="18" customWidth="1"/>
    <col min="7453" max="7453" width="7.7265625" style="18" customWidth="1"/>
    <col min="7454" max="7455" width="5.7265625" style="18" customWidth="1"/>
    <col min="7456" max="7456" width="8.453125" style="18" customWidth="1"/>
    <col min="7457" max="7457" width="16.54296875" style="18" customWidth="1"/>
    <col min="7458" max="7680" width="9" style="18"/>
    <col min="7681" max="7681" width="5" style="18" customWidth="1"/>
    <col min="7682" max="7682" width="8.1796875" style="18" customWidth="1"/>
    <col min="7683" max="7685" width="0" style="18" hidden="1" customWidth="1"/>
    <col min="7686" max="7686" width="8.1796875" style="18" customWidth="1"/>
    <col min="7687" max="7701" width="0" style="18" hidden="1" customWidth="1"/>
    <col min="7702" max="7702" width="6.7265625" style="18" customWidth="1"/>
    <col min="7703" max="7703" width="0" style="18" hidden="1" customWidth="1"/>
    <col min="7704" max="7704" width="8.7265625" style="18" customWidth="1"/>
    <col min="7705" max="7705" width="0.81640625" style="18" customWidth="1"/>
    <col min="7706" max="7706" width="9.81640625" style="18" customWidth="1"/>
    <col min="7707" max="7707" width="23.453125" style="18" customWidth="1"/>
    <col min="7708" max="7708" width="7.81640625" style="18" customWidth="1"/>
    <col min="7709" max="7709" width="7.7265625" style="18" customWidth="1"/>
    <col min="7710" max="7711" width="5.7265625" style="18" customWidth="1"/>
    <col min="7712" max="7712" width="8.453125" style="18" customWidth="1"/>
    <col min="7713" max="7713" width="16.54296875" style="18" customWidth="1"/>
    <col min="7714" max="7936" width="9" style="18"/>
    <col min="7937" max="7937" width="5" style="18" customWidth="1"/>
    <col min="7938" max="7938" width="8.1796875" style="18" customWidth="1"/>
    <col min="7939" max="7941" width="0" style="18" hidden="1" customWidth="1"/>
    <col min="7942" max="7942" width="8.1796875" style="18" customWidth="1"/>
    <col min="7943" max="7957" width="0" style="18" hidden="1" customWidth="1"/>
    <col min="7958" max="7958" width="6.7265625" style="18" customWidth="1"/>
    <col min="7959" max="7959" width="0" style="18" hidden="1" customWidth="1"/>
    <col min="7960" max="7960" width="8.7265625" style="18" customWidth="1"/>
    <col min="7961" max="7961" width="0.81640625" style="18" customWidth="1"/>
    <col min="7962" max="7962" width="9.81640625" style="18" customWidth="1"/>
    <col min="7963" max="7963" width="23.453125" style="18" customWidth="1"/>
    <col min="7964" max="7964" width="7.81640625" style="18" customWidth="1"/>
    <col min="7965" max="7965" width="7.7265625" style="18" customWidth="1"/>
    <col min="7966" max="7967" width="5.7265625" style="18" customWidth="1"/>
    <col min="7968" max="7968" width="8.453125" style="18" customWidth="1"/>
    <col min="7969" max="7969" width="16.54296875" style="18" customWidth="1"/>
    <col min="7970" max="8192" width="9" style="18"/>
    <col min="8193" max="8193" width="5" style="18" customWidth="1"/>
    <col min="8194" max="8194" width="8.1796875" style="18" customWidth="1"/>
    <col min="8195" max="8197" width="0" style="18" hidden="1" customWidth="1"/>
    <col min="8198" max="8198" width="8.1796875" style="18" customWidth="1"/>
    <col min="8199" max="8213" width="0" style="18" hidden="1" customWidth="1"/>
    <col min="8214" max="8214" width="6.7265625" style="18" customWidth="1"/>
    <col min="8215" max="8215" width="0" style="18" hidden="1" customWidth="1"/>
    <col min="8216" max="8216" width="8.7265625" style="18" customWidth="1"/>
    <col min="8217" max="8217" width="0.81640625" style="18" customWidth="1"/>
    <col min="8218" max="8218" width="9.81640625" style="18" customWidth="1"/>
    <col min="8219" max="8219" width="23.453125" style="18" customWidth="1"/>
    <col min="8220" max="8220" width="7.81640625" style="18" customWidth="1"/>
    <col min="8221" max="8221" width="7.7265625" style="18" customWidth="1"/>
    <col min="8222" max="8223" width="5.7265625" style="18" customWidth="1"/>
    <col min="8224" max="8224" width="8.453125" style="18" customWidth="1"/>
    <col min="8225" max="8225" width="16.54296875" style="18" customWidth="1"/>
    <col min="8226" max="8448" width="9" style="18"/>
    <col min="8449" max="8449" width="5" style="18" customWidth="1"/>
    <col min="8450" max="8450" width="8.1796875" style="18" customWidth="1"/>
    <col min="8451" max="8453" width="0" style="18" hidden="1" customWidth="1"/>
    <col min="8454" max="8454" width="8.1796875" style="18" customWidth="1"/>
    <col min="8455" max="8469" width="0" style="18" hidden="1" customWidth="1"/>
    <col min="8470" max="8470" width="6.7265625" style="18" customWidth="1"/>
    <col min="8471" max="8471" width="0" style="18" hidden="1" customWidth="1"/>
    <col min="8472" max="8472" width="8.7265625" style="18" customWidth="1"/>
    <col min="8473" max="8473" width="0.81640625" style="18" customWidth="1"/>
    <col min="8474" max="8474" width="9.81640625" style="18" customWidth="1"/>
    <col min="8475" max="8475" width="23.453125" style="18" customWidth="1"/>
    <col min="8476" max="8476" width="7.81640625" style="18" customWidth="1"/>
    <col min="8477" max="8477" width="7.7265625" style="18" customWidth="1"/>
    <col min="8478" max="8479" width="5.7265625" style="18" customWidth="1"/>
    <col min="8480" max="8480" width="8.453125" style="18" customWidth="1"/>
    <col min="8481" max="8481" width="16.54296875" style="18" customWidth="1"/>
    <col min="8482" max="8704" width="9" style="18"/>
    <col min="8705" max="8705" width="5" style="18" customWidth="1"/>
    <col min="8706" max="8706" width="8.1796875" style="18" customWidth="1"/>
    <col min="8707" max="8709" width="0" style="18" hidden="1" customWidth="1"/>
    <col min="8710" max="8710" width="8.1796875" style="18" customWidth="1"/>
    <col min="8711" max="8725" width="0" style="18" hidden="1" customWidth="1"/>
    <col min="8726" max="8726" width="6.7265625" style="18" customWidth="1"/>
    <col min="8727" max="8727" width="0" style="18" hidden="1" customWidth="1"/>
    <col min="8728" max="8728" width="8.7265625" style="18" customWidth="1"/>
    <col min="8729" max="8729" width="0.81640625" style="18" customWidth="1"/>
    <col min="8730" max="8730" width="9.81640625" style="18" customWidth="1"/>
    <col min="8731" max="8731" width="23.453125" style="18" customWidth="1"/>
    <col min="8732" max="8732" width="7.81640625" style="18" customWidth="1"/>
    <col min="8733" max="8733" width="7.7265625" style="18" customWidth="1"/>
    <col min="8734" max="8735" width="5.7265625" style="18" customWidth="1"/>
    <col min="8736" max="8736" width="8.453125" style="18" customWidth="1"/>
    <col min="8737" max="8737" width="16.54296875" style="18" customWidth="1"/>
    <col min="8738" max="8960" width="9" style="18"/>
    <col min="8961" max="8961" width="5" style="18" customWidth="1"/>
    <col min="8962" max="8962" width="8.1796875" style="18" customWidth="1"/>
    <col min="8963" max="8965" width="0" style="18" hidden="1" customWidth="1"/>
    <col min="8966" max="8966" width="8.1796875" style="18" customWidth="1"/>
    <col min="8967" max="8981" width="0" style="18" hidden="1" customWidth="1"/>
    <col min="8982" max="8982" width="6.7265625" style="18" customWidth="1"/>
    <col min="8983" max="8983" width="0" style="18" hidden="1" customWidth="1"/>
    <col min="8984" max="8984" width="8.7265625" style="18" customWidth="1"/>
    <col min="8985" max="8985" width="0.81640625" style="18" customWidth="1"/>
    <col min="8986" max="8986" width="9.81640625" style="18" customWidth="1"/>
    <col min="8987" max="8987" width="23.453125" style="18" customWidth="1"/>
    <col min="8988" max="8988" width="7.81640625" style="18" customWidth="1"/>
    <col min="8989" max="8989" width="7.7265625" style="18" customWidth="1"/>
    <col min="8990" max="8991" width="5.7265625" style="18" customWidth="1"/>
    <col min="8992" max="8992" width="8.453125" style="18" customWidth="1"/>
    <col min="8993" max="8993" width="16.54296875" style="18" customWidth="1"/>
    <col min="8994" max="9216" width="9" style="18"/>
    <col min="9217" max="9217" width="5" style="18" customWidth="1"/>
    <col min="9218" max="9218" width="8.1796875" style="18" customWidth="1"/>
    <col min="9219" max="9221" width="0" style="18" hidden="1" customWidth="1"/>
    <col min="9222" max="9222" width="8.1796875" style="18" customWidth="1"/>
    <col min="9223" max="9237" width="0" style="18" hidden="1" customWidth="1"/>
    <col min="9238" max="9238" width="6.7265625" style="18" customWidth="1"/>
    <col min="9239" max="9239" width="0" style="18" hidden="1" customWidth="1"/>
    <col min="9240" max="9240" width="8.7265625" style="18" customWidth="1"/>
    <col min="9241" max="9241" width="0.81640625" style="18" customWidth="1"/>
    <col min="9242" max="9242" width="9.81640625" style="18" customWidth="1"/>
    <col min="9243" max="9243" width="23.453125" style="18" customWidth="1"/>
    <col min="9244" max="9244" width="7.81640625" style="18" customWidth="1"/>
    <col min="9245" max="9245" width="7.7265625" style="18" customWidth="1"/>
    <col min="9246" max="9247" width="5.7265625" style="18" customWidth="1"/>
    <col min="9248" max="9248" width="8.453125" style="18" customWidth="1"/>
    <col min="9249" max="9249" width="16.54296875" style="18" customWidth="1"/>
    <col min="9250" max="9472" width="9" style="18"/>
    <col min="9473" max="9473" width="5" style="18" customWidth="1"/>
    <col min="9474" max="9474" width="8.1796875" style="18" customWidth="1"/>
    <col min="9475" max="9477" width="0" style="18" hidden="1" customWidth="1"/>
    <col min="9478" max="9478" width="8.1796875" style="18" customWidth="1"/>
    <col min="9479" max="9493" width="0" style="18" hidden="1" customWidth="1"/>
    <col min="9494" max="9494" width="6.7265625" style="18" customWidth="1"/>
    <col min="9495" max="9495" width="0" style="18" hidden="1" customWidth="1"/>
    <col min="9496" max="9496" width="8.7265625" style="18" customWidth="1"/>
    <col min="9497" max="9497" width="0.81640625" style="18" customWidth="1"/>
    <col min="9498" max="9498" width="9.81640625" style="18" customWidth="1"/>
    <col min="9499" max="9499" width="23.453125" style="18" customWidth="1"/>
    <col min="9500" max="9500" width="7.81640625" style="18" customWidth="1"/>
    <col min="9501" max="9501" width="7.7265625" style="18" customWidth="1"/>
    <col min="9502" max="9503" width="5.7265625" style="18" customWidth="1"/>
    <col min="9504" max="9504" width="8.453125" style="18" customWidth="1"/>
    <col min="9505" max="9505" width="16.54296875" style="18" customWidth="1"/>
    <col min="9506" max="9728" width="9" style="18"/>
    <col min="9729" max="9729" width="5" style="18" customWidth="1"/>
    <col min="9730" max="9730" width="8.1796875" style="18" customWidth="1"/>
    <col min="9731" max="9733" width="0" style="18" hidden="1" customWidth="1"/>
    <col min="9734" max="9734" width="8.1796875" style="18" customWidth="1"/>
    <col min="9735" max="9749" width="0" style="18" hidden="1" customWidth="1"/>
    <col min="9750" max="9750" width="6.7265625" style="18" customWidth="1"/>
    <col min="9751" max="9751" width="0" style="18" hidden="1" customWidth="1"/>
    <col min="9752" max="9752" width="8.7265625" style="18" customWidth="1"/>
    <col min="9753" max="9753" width="0.81640625" style="18" customWidth="1"/>
    <col min="9754" max="9754" width="9.81640625" style="18" customWidth="1"/>
    <col min="9755" max="9755" width="23.453125" style="18" customWidth="1"/>
    <col min="9756" max="9756" width="7.81640625" style="18" customWidth="1"/>
    <col min="9757" max="9757" width="7.7265625" style="18" customWidth="1"/>
    <col min="9758" max="9759" width="5.7265625" style="18" customWidth="1"/>
    <col min="9760" max="9760" width="8.453125" style="18" customWidth="1"/>
    <col min="9761" max="9761" width="16.54296875" style="18" customWidth="1"/>
    <col min="9762" max="9984" width="9" style="18"/>
    <col min="9985" max="9985" width="5" style="18" customWidth="1"/>
    <col min="9986" max="9986" width="8.1796875" style="18" customWidth="1"/>
    <col min="9987" max="9989" width="0" style="18" hidden="1" customWidth="1"/>
    <col min="9990" max="9990" width="8.1796875" style="18" customWidth="1"/>
    <col min="9991" max="10005" width="0" style="18" hidden="1" customWidth="1"/>
    <col min="10006" max="10006" width="6.7265625" style="18" customWidth="1"/>
    <col min="10007" max="10007" width="0" style="18" hidden="1" customWidth="1"/>
    <col min="10008" max="10008" width="8.7265625" style="18" customWidth="1"/>
    <col min="10009" max="10009" width="0.81640625" style="18" customWidth="1"/>
    <col min="10010" max="10010" width="9.81640625" style="18" customWidth="1"/>
    <col min="10011" max="10011" width="23.453125" style="18" customWidth="1"/>
    <col min="10012" max="10012" width="7.81640625" style="18" customWidth="1"/>
    <col min="10013" max="10013" width="7.7265625" style="18" customWidth="1"/>
    <col min="10014" max="10015" width="5.7265625" style="18" customWidth="1"/>
    <col min="10016" max="10016" width="8.453125" style="18" customWidth="1"/>
    <col min="10017" max="10017" width="16.54296875" style="18" customWidth="1"/>
    <col min="10018" max="10240" width="9" style="18"/>
    <col min="10241" max="10241" width="5" style="18" customWidth="1"/>
    <col min="10242" max="10242" width="8.1796875" style="18" customWidth="1"/>
    <col min="10243" max="10245" width="0" style="18" hidden="1" customWidth="1"/>
    <col min="10246" max="10246" width="8.1796875" style="18" customWidth="1"/>
    <col min="10247" max="10261" width="0" style="18" hidden="1" customWidth="1"/>
    <col min="10262" max="10262" width="6.7265625" style="18" customWidth="1"/>
    <col min="10263" max="10263" width="0" style="18" hidden="1" customWidth="1"/>
    <col min="10264" max="10264" width="8.7265625" style="18" customWidth="1"/>
    <col min="10265" max="10265" width="0.81640625" style="18" customWidth="1"/>
    <col min="10266" max="10266" width="9.81640625" style="18" customWidth="1"/>
    <col min="10267" max="10267" width="23.453125" style="18" customWidth="1"/>
    <col min="10268" max="10268" width="7.81640625" style="18" customWidth="1"/>
    <col min="10269" max="10269" width="7.7265625" style="18" customWidth="1"/>
    <col min="10270" max="10271" width="5.7265625" style="18" customWidth="1"/>
    <col min="10272" max="10272" width="8.453125" style="18" customWidth="1"/>
    <col min="10273" max="10273" width="16.54296875" style="18" customWidth="1"/>
    <col min="10274" max="10496" width="9" style="18"/>
    <col min="10497" max="10497" width="5" style="18" customWidth="1"/>
    <col min="10498" max="10498" width="8.1796875" style="18" customWidth="1"/>
    <col min="10499" max="10501" width="0" style="18" hidden="1" customWidth="1"/>
    <col min="10502" max="10502" width="8.1796875" style="18" customWidth="1"/>
    <col min="10503" max="10517" width="0" style="18" hidden="1" customWidth="1"/>
    <col min="10518" max="10518" width="6.7265625" style="18" customWidth="1"/>
    <col min="10519" max="10519" width="0" style="18" hidden="1" customWidth="1"/>
    <col min="10520" max="10520" width="8.7265625" style="18" customWidth="1"/>
    <col min="10521" max="10521" width="0.81640625" style="18" customWidth="1"/>
    <col min="10522" max="10522" width="9.81640625" style="18" customWidth="1"/>
    <col min="10523" max="10523" width="23.453125" style="18" customWidth="1"/>
    <col min="10524" max="10524" width="7.81640625" style="18" customWidth="1"/>
    <col min="10525" max="10525" width="7.7265625" style="18" customWidth="1"/>
    <col min="10526" max="10527" width="5.7265625" style="18" customWidth="1"/>
    <col min="10528" max="10528" width="8.453125" style="18" customWidth="1"/>
    <col min="10529" max="10529" width="16.54296875" style="18" customWidth="1"/>
    <col min="10530" max="10752" width="9" style="18"/>
    <col min="10753" max="10753" width="5" style="18" customWidth="1"/>
    <col min="10754" max="10754" width="8.1796875" style="18" customWidth="1"/>
    <col min="10755" max="10757" width="0" style="18" hidden="1" customWidth="1"/>
    <col min="10758" max="10758" width="8.1796875" style="18" customWidth="1"/>
    <col min="10759" max="10773" width="0" style="18" hidden="1" customWidth="1"/>
    <col min="10774" max="10774" width="6.7265625" style="18" customWidth="1"/>
    <col min="10775" max="10775" width="0" style="18" hidden="1" customWidth="1"/>
    <col min="10776" max="10776" width="8.7265625" style="18" customWidth="1"/>
    <col min="10777" max="10777" width="0.81640625" style="18" customWidth="1"/>
    <col min="10778" max="10778" width="9.81640625" style="18" customWidth="1"/>
    <col min="10779" max="10779" width="23.453125" style="18" customWidth="1"/>
    <col min="10780" max="10780" width="7.81640625" style="18" customWidth="1"/>
    <col min="10781" max="10781" width="7.7265625" style="18" customWidth="1"/>
    <col min="10782" max="10783" width="5.7265625" style="18" customWidth="1"/>
    <col min="10784" max="10784" width="8.453125" style="18" customWidth="1"/>
    <col min="10785" max="10785" width="16.54296875" style="18" customWidth="1"/>
    <col min="10786" max="11008" width="9" style="18"/>
    <col min="11009" max="11009" width="5" style="18" customWidth="1"/>
    <col min="11010" max="11010" width="8.1796875" style="18" customWidth="1"/>
    <col min="11011" max="11013" width="0" style="18" hidden="1" customWidth="1"/>
    <col min="11014" max="11014" width="8.1796875" style="18" customWidth="1"/>
    <col min="11015" max="11029" width="0" style="18" hidden="1" customWidth="1"/>
    <col min="11030" max="11030" width="6.7265625" style="18" customWidth="1"/>
    <col min="11031" max="11031" width="0" style="18" hidden="1" customWidth="1"/>
    <col min="11032" max="11032" width="8.7265625" style="18" customWidth="1"/>
    <col min="11033" max="11033" width="0.81640625" style="18" customWidth="1"/>
    <col min="11034" max="11034" width="9.81640625" style="18" customWidth="1"/>
    <col min="11035" max="11035" width="23.453125" style="18" customWidth="1"/>
    <col min="11036" max="11036" width="7.81640625" style="18" customWidth="1"/>
    <col min="11037" max="11037" width="7.7265625" style="18" customWidth="1"/>
    <col min="11038" max="11039" width="5.7265625" style="18" customWidth="1"/>
    <col min="11040" max="11040" width="8.453125" style="18" customWidth="1"/>
    <col min="11041" max="11041" width="16.54296875" style="18" customWidth="1"/>
    <col min="11042" max="11264" width="9" style="18"/>
    <col min="11265" max="11265" width="5" style="18" customWidth="1"/>
    <col min="11266" max="11266" width="8.1796875" style="18" customWidth="1"/>
    <col min="11267" max="11269" width="0" style="18" hidden="1" customWidth="1"/>
    <col min="11270" max="11270" width="8.1796875" style="18" customWidth="1"/>
    <col min="11271" max="11285" width="0" style="18" hidden="1" customWidth="1"/>
    <col min="11286" max="11286" width="6.7265625" style="18" customWidth="1"/>
    <col min="11287" max="11287" width="0" style="18" hidden="1" customWidth="1"/>
    <col min="11288" max="11288" width="8.7265625" style="18" customWidth="1"/>
    <col min="11289" max="11289" width="0.81640625" style="18" customWidth="1"/>
    <col min="11290" max="11290" width="9.81640625" style="18" customWidth="1"/>
    <col min="11291" max="11291" width="23.453125" style="18" customWidth="1"/>
    <col min="11292" max="11292" width="7.81640625" style="18" customWidth="1"/>
    <col min="11293" max="11293" width="7.7265625" style="18" customWidth="1"/>
    <col min="11294" max="11295" width="5.7265625" style="18" customWidth="1"/>
    <col min="11296" max="11296" width="8.453125" style="18" customWidth="1"/>
    <col min="11297" max="11297" width="16.54296875" style="18" customWidth="1"/>
    <col min="11298" max="11520" width="9" style="18"/>
    <col min="11521" max="11521" width="5" style="18" customWidth="1"/>
    <col min="11522" max="11522" width="8.1796875" style="18" customWidth="1"/>
    <col min="11523" max="11525" width="0" style="18" hidden="1" customWidth="1"/>
    <col min="11526" max="11526" width="8.1796875" style="18" customWidth="1"/>
    <col min="11527" max="11541" width="0" style="18" hidden="1" customWidth="1"/>
    <col min="11542" max="11542" width="6.7265625" style="18" customWidth="1"/>
    <col min="11543" max="11543" width="0" style="18" hidden="1" customWidth="1"/>
    <col min="11544" max="11544" width="8.7265625" style="18" customWidth="1"/>
    <col min="11545" max="11545" width="0.81640625" style="18" customWidth="1"/>
    <col min="11546" max="11546" width="9.81640625" style="18" customWidth="1"/>
    <col min="11547" max="11547" width="23.453125" style="18" customWidth="1"/>
    <col min="11548" max="11548" width="7.81640625" style="18" customWidth="1"/>
    <col min="11549" max="11549" width="7.7265625" style="18" customWidth="1"/>
    <col min="11550" max="11551" width="5.7265625" style="18" customWidth="1"/>
    <col min="11552" max="11552" width="8.453125" style="18" customWidth="1"/>
    <col min="11553" max="11553" width="16.54296875" style="18" customWidth="1"/>
    <col min="11554" max="11776" width="9" style="18"/>
    <col min="11777" max="11777" width="5" style="18" customWidth="1"/>
    <col min="11778" max="11778" width="8.1796875" style="18" customWidth="1"/>
    <col min="11779" max="11781" width="0" style="18" hidden="1" customWidth="1"/>
    <col min="11782" max="11782" width="8.1796875" style="18" customWidth="1"/>
    <col min="11783" max="11797" width="0" style="18" hidden="1" customWidth="1"/>
    <col min="11798" max="11798" width="6.7265625" style="18" customWidth="1"/>
    <col min="11799" max="11799" width="0" style="18" hidden="1" customWidth="1"/>
    <col min="11800" max="11800" width="8.7265625" style="18" customWidth="1"/>
    <col min="11801" max="11801" width="0.81640625" style="18" customWidth="1"/>
    <col min="11802" max="11802" width="9.81640625" style="18" customWidth="1"/>
    <col min="11803" max="11803" width="23.453125" style="18" customWidth="1"/>
    <col min="11804" max="11804" width="7.81640625" style="18" customWidth="1"/>
    <col min="11805" max="11805" width="7.7265625" style="18" customWidth="1"/>
    <col min="11806" max="11807" width="5.7265625" style="18" customWidth="1"/>
    <col min="11808" max="11808" width="8.453125" style="18" customWidth="1"/>
    <col min="11809" max="11809" width="16.54296875" style="18" customWidth="1"/>
    <col min="11810" max="12032" width="9" style="18"/>
    <col min="12033" max="12033" width="5" style="18" customWidth="1"/>
    <col min="12034" max="12034" width="8.1796875" style="18" customWidth="1"/>
    <col min="12035" max="12037" width="0" style="18" hidden="1" customWidth="1"/>
    <col min="12038" max="12038" width="8.1796875" style="18" customWidth="1"/>
    <col min="12039" max="12053" width="0" style="18" hidden="1" customWidth="1"/>
    <col min="12054" max="12054" width="6.7265625" style="18" customWidth="1"/>
    <col min="12055" max="12055" width="0" style="18" hidden="1" customWidth="1"/>
    <col min="12056" max="12056" width="8.7265625" style="18" customWidth="1"/>
    <col min="12057" max="12057" width="0.81640625" style="18" customWidth="1"/>
    <col min="12058" max="12058" width="9.81640625" style="18" customWidth="1"/>
    <col min="12059" max="12059" width="23.453125" style="18" customWidth="1"/>
    <col min="12060" max="12060" width="7.81640625" style="18" customWidth="1"/>
    <col min="12061" max="12061" width="7.7265625" style="18" customWidth="1"/>
    <col min="12062" max="12063" width="5.7265625" style="18" customWidth="1"/>
    <col min="12064" max="12064" width="8.453125" style="18" customWidth="1"/>
    <col min="12065" max="12065" width="16.54296875" style="18" customWidth="1"/>
    <col min="12066" max="12288" width="9" style="18"/>
    <col min="12289" max="12289" width="5" style="18" customWidth="1"/>
    <col min="12290" max="12290" width="8.1796875" style="18" customWidth="1"/>
    <col min="12291" max="12293" width="0" style="18" hidden="1" customWidth="1"/>
    <col min="12294" max="12294" width="8.1796875" style="18" customWidth="1"/>
    <col min="12295" max="12309" width="0" style="18" hidden="1" customWidth="1"/>
    <col min="12310" max="12310" width="6.7265625" style="18" customWidth="1"/>
    <col min="12311" max="12311" width="0" style="18" hidden="1" customWidth="1"/>
    <col min="12312" max="12312" width="8.7265625" style="18" customWidth="1"/>
    <col min="12313" max="12313" width="0.81640625" style="18" customWidth="1"/>
    <col min="12314" max="12314" width="9.81640625" style="18" customWidth="1"/>
    <col min="12315" max="12315" width="23.453125" style="18" customWidth="1"/>
    <col min="12316" max="12316" width="7.81640625" style="18" customWidth="1"/>
    <col min="12317" max="12317" width="7.7265625" style="18" customWidth="1"/>
    <col min="12318" max="12319" width="5.7265625" style="18" customWidth="1"/>
    <col min="12320" max="12320" width="8.453125" style="18" customWidth="1"/>
    <col min="12321" max="12321" width="16.54296875" style="18" customWidth="1"/>
    <col min="12322" max="12544" width="9" style="18"/>
    <col min="12545" max="12545" width="5" style="18" customWidth="1"/>
    <col min="12546" max="12546" width="8.1796875" style="18" customWidth="1"/>
    <col min="12547" max="12549" width="0" style="18" hidden="1" customWidth="1"/>
    <col min="12550" max="12550" width="8.1796875" style="18" customWidth="1"/>
    <col min="12551" max="12565" width="0" style="18" hidden="1" customWidth="1"/>
    <col min="12566" max="12566" width="6.7265625" style="18" customWidth="1"/>
    <col min="12567" max="12567" width="0" style="18" hidden="1" customWidth="1"/>
    <col min="12568" max="12568" width="8.7265625" style="18" customWidth="1"/>
    <col min="12569" max="12569" width="0.81640625" style="18" customWidth="1"/>
    <col min="12570" max="12570" width="9.81640625" style="18" customWidth="1"/>
    <col min="12571" max="12571" width="23.453125" style="18" customWidth="1"/>
    <col min="12572" max="12572" width="7.81640625" style="18" customWidth="1"/>
    <col min="12573" max="12573" width="7.7265625" style="18" customWidth="1"/>
    <col min="12574" max="12575" width="5.7265625" style="18" customWidth="1"/>
    <col min="12576" max="12576" width="8.453125" style="18" customWidth="1"/>
    <col min="12577" max="12577" width="16.54296875" style="18" customWidth="1"/>
    <col min="12578" max="12800" width="9" style="18"/>
    <col min="12801" max="12801" width="5" style="18" customWidth="1"/>
    <col min="12802" max="12802" width="8.1796875" style="18" customWidth="1"/>
    <col min="12803" max="12805" width="0" style="18" hidden="1" customWidth="1"/>
    <col min="12806" max="12806" width="8.1796875" style="18" customWidth="1"/>
    <col min="12807" max="12821" width="0" style="18" hidden="1" customWidth="1"/>
    <col min="12822" max="12822" width="6.7265625" style="18" customWidth="1"/>
    <col min="12823" max="12823" width="0" style="18" hidden="1" customWidth="1"/>
    <col min="12824" max="12824" width="8.7265625" style="18" customWidth="1"/>
    <col min="12825" max="12825" width="0.81640625" style="18" customWidth="1"/>
    <col min="12826" max="12826" width="9.81640625" style="18" customWidth="1"/>
    <col min="12827" max="12827" width="23.453125" style="18" customWidth="1"/>
    <col min="12828" max="12828" width="7.81640625" style="18" customWidth="1"/>
    <col min="12829" max="12829" width="7.7265625" style="18" customWidth="1"/>
    <col min="12830" max="12831" width="5.7265625" style="18" customWidth="1"/>
    <col min="12832" max="12832" width="8.453125" style="18" customWidth="1"/>
    <col min="12833" max="12833" width="16.54296875" style="18" customWidth="1"/>
    <col min="12834" max="13056" width="9" style="18"/>
    <col min="13057" max="13057" width="5" style="18" customWidth="1"/>
    <col min="13058" max="13058" width="8.1796875" style="18" customWidth="1"/>
    <col min="13059" max="13061" width="0" style="18" hidden="1" customWidth="1"/>
    <col min="13062" max="13062" width="8.1796875" style="18" customWidth="1"/>
    <col min="13063" max="13077" width="0" style="18" hidden="1" customWidth="1"/>
    <col min="13078" max="13078" width="6.7265625" style="18" customWidth="1"/>
    <col min="13079" max="13079" width="0" style="18" hidden="1" customWidth="1"/>
    <col min="13080" max="13080" width="8.7265625" style="18" customWidth="1"/>
    <col min="13081" max="13081" width="0.81640625" style="18" customWidth="1"/>
    <col min="13082" max="13082" width="9.81640625" style="18" customWidth="1"/>
    <col min="13083" max="13083" width="23.453125" style="18" customWidth="1"/>
    <col min="13084" max="13084" width="7.81640625" style="18" customWidth="1"/>
    <col min="13085" max="13085" width="7.7265625" style="18" customWidth="1"/>
    <col min="13086" max="13087" width="5.7265625" style="18" customWidth="1"/>
    <col min="13088" max="13088" width="8.453125" style="18" customWidth="1"/>
    <col min="13089" max="13089" width="16.54296875" style="18" customWidth="1"/>
    <col min="13090" max="13312" width="9" style="18"/>
    <col min="13313" max="13313" width="5" style="18" customWidth="1"/>
    <col min="13314" max="13314" width="8.1796875" style="18" customWidth="1"/>
    <col min="13315" max="13317" width="0" style="18" hidden="1" customWidth="1"/>
    <col min="13318" max="13318" width="8.1796875" style="18" customWidth="1"/>
    <col min="13319" max="13333" width="0" style="18" hidden="1" customWidth="1"/>
    <col min="13334" max="13334" width="6.7265625" style="18" customWidth="1"/>
    <col min="13335" max="13335" width="0" style="18" hidden="1" customWidth="1"/>
    <col min="13336" max="13336" width="8.7265625" style="18" customWidth="1"/>
    <col min="13337" max="13337" width="0.81640625" style="18" customWidth="1"/>
    <col min="13338" max="13338" width="9.81640625" style="18" customWidth="1"/>
    <col min="13339" max="13339" width="23.453125" style="18" customWidth="1"/>
    <col min="13340" max="13340" width="7.81640625" style="18" customWidth="1"/>
    <col min="13341" max="13341" width="7.7265625" style="18" customWidth="1"/>
    <col min="13342" max="13343" width="5.7265625" style="18" customWidth="1"/>
    <col min="13344" max="13344" width="8.453125" style="18" customWidth="1"/>
    <col min="13345" max="13345" width="16.54296875" style="18" customWidth="1"/>
    <col min="13346" max="13568" width="9" style="18"/>
    <col min="13569" max="13569" width="5" style="18" customWidth="1"/>
    <col min="13570" max="13570" width="8.1796875" style="18" customWidth="1"/>
    <col min="13571" max="13573" width="0" style="18" hidden="1" customWidth="1"/>
    <col min="13574" max="13574" width="8.1796875" style="18" customWidth="1"/>
    <col min="13575" max="13589" width="0" style="18" hidden="1" customWidth="1"/>
    <col min="13590" max="13590" width="6.7265625" style="18" customWidth="1"/>
    <col min="13591" max="13591" width="0" style="18" hidden="1" customWidth="1"/>
    <col min="13592" max="13592" width="8.7265625" style="18" customWidth="1"/>
    <col min="13593" max="13593" width="0.81640625" style="18" customWidth="1"/>
    <col min="13594" max="13594" width="9.81640625" style="18" customWidth="1"/>
    <col min="13595" max="13595" width="23.453125" style="18" customWidth="1"/>
    <col min="13596" max="13596" width="7.81640625" style="18" customWidth="1"/>
    <col min="13597" max="13597" width="7.7265625" style="18" customWidth="1"/>
    <col min="13598" max="13599" width="5.7265625" style="18" customWidth="1"/>
    <col min="13600" max="13600" width="8.453125" style="18" customWidth="1"/>
    <col min="13601" max="13601" width="16.54296875" style="18" customWidth="1"/>
    <col min="13602" max="13824" width="9" style="18"/>
    <col min="13825" max="13825" width="5" style="18" customWidth="1"/>
    <col min="13826" max="13826" width="8.1796875" style="18" customWidth="1"/>
    <col min="13827" max="13829" width="0" style="18" hidden="1" customWidth="1"/>
    <col min="13830" max="13830" width="8.1796875" style="18" customWidth="1"/>
    <col min="13831" max="13845" width="0" style="18" hidden="1" customWidth="1"/>
    <col min="13846" max="13846" width="6.7265625" style="18" customWidth="1"/>
    <col min="13847" max="13847" width="0" style="18" hidden="1" customWidth="1"/>
    <col min="13848" max="13848" width="8.7265625" style="18" customWidth="1"/>
    <col min="13849" max="13849" width="0.81640625" style="18" customWidth="1"/>
    <col min="13850" max="13850" width="9.81640625" style="18" customWidth="1"/>
    <col min="13851" max="13851" width="23.453125" style="18" customWidth="1"/>
    <col min="13852" max="13852" width="7.81640625" style="18" customWidth="1"/>
    <col min="13853" max="13853" width="7.7265625" style="18" customWidth="1"/>
    <col min="13854" max="13855" width="5.7265625" style="18" customWidth="1"/>
    <col min="13856" max="13856" width="8.453125" style="18" customWidth="1"/>
    <col min="13857" max="13857" width="16.54296875" style="18" customWidth="1"/>
    <col min="13858" max="14080" width="9" style="18"/>
    <col min="14081" max="14081" width="5" style="18" customWidth="1"/>
    <col min="14082" max="14082" width="8.1796875" style="18" customWidth="1"/>
    <col min="14083" max="14085" width="0" style="18" hidden="1" customWidth="1"/>
    <col min="14086" max="14086" width="8.1796875" style="18" customWidth="1"/>
    <col min="14087" max="14101" width="0" style="18" hidden="1" customWidth="1"/>
    <col min="14102" max="14102" width="6.7265625" style="18" customWidth="1"/>
    <col min="14103" max="14103" width="0" style="18" hidden="1" customWidth="1"/>
    <col min="14104" max="14104" width="8.7265625" style="18" customWidth="1"/>
    <col min="14105" max="14105" width="0.81640625" style="18" customWidth="1"/>
    <col min="14106" max="14106" width="9.81640625" style="18" customWidth="1"/>
    <col min="14107" max="14107" width="23.453125" style="18" customWidth="1"/>
    <col min="14108" max="14108" width="7.81640625" style="18" customWidth="1"/>
    <col min="14109" max="14109" width="7.7265625" style="18" customWidth="1"/>
    <col min="14110" max="14111" width="5.7265625" style="18" customWidth="1"/>
    <col min="14112" max="14112" width="8.453125" style="18" customWidth="1"/>
    <col min="14113" max="14113" width="16.54296875" style="18" customWidth="1"/>
    <col min="14114" max="14336" width="9" style="18"/>
    <col min="14337" max="14337" width="5" style="18" customWidth="1"/>
    <col min="14338" max="14338" width="8.1796875" style="18" customWidth="1"/>
    <col min="14339" max="14341" width="0" style="18" hidden="1" customWidth="1"/>
    <col min="14342" max="14342" width="8.1796875" style="18" customWidth="1"/>
    <col min="14343" max="14357" width="0" style="18" hidden="1" customWidth="1"/>
    <col min="14358" max="14358" width="6.7265625" style="18" customWidth="1"/>
    <col min="14359" max="14359" width="0" style="18" hidden="1" customWidth="1"/>
    <col min="14360" max="14360" width="8.7265625" style="18" customWidth="1"/>
    <col min="14361" max="14361" width="0.81640625" style="18" customWidth="1"/>
    <col min="14362" max="14362" width="9.81640625" style="18" customWidth="1"/>
    <col min="14363" max="14363" width="23.453125" style="18" customWidth="1"/>
    <col min="14364" max="14364" width="7.81640625" style="18" customWidth="1"/>
    <col min="14365" max="14365" width="7.7265625" style="18" customWidth="1"/>
    <col min="14366" max="14367" width="5.7265625" style="18" customWidth="1"/>
    <col min="14368" max="14368" width="8.453125" style="18" customWidth="1"/>
    <col min="14369" max="14369" width="16.54296875" style="18" customWidth="1"/>
    <col min="14370" max="14592" width="9" style="18"/>
    <col min="14593" max="14593" width="5" style="18" customWidth="1"/>
    <col min="14594" max="14594" width="8.1796875" style="18" customWidth="1"/>
    <col min="14595" max="14597" width="0" style="18" hidden="1" customWidth="1"/>
    <col min="14598" max="14598" width="8.1796875" style="18" customWidth="1"/>
    <col min="14599" max="14613" width="0" style="18" hidden="1" customWidth="1"/>
    <col min="14614" max="14614" width="6.7265625" style="18" customWidth="1"/>
    <col min="14615" max="14615" width="0" style="18" hidden="1" customWidth="1"/>
    <col min="14616" max="14616" width="8.7265625" style="18" customWidth="1"/>
    <col min="14617" max="14617" width="0.81640625" style="18" customWidth="1"/>
    <col min="14618" max="14618" width="9.81640625" style="18" customWidth="1"/>
    <col min="14619" max="14619" width="23.453125" style="18" customWidth="1"/>
    <col min="14620" max="14620" width="7.81640625" style="18" customWidth="1"/>
    <col min="14621" max="14621" width="7.7265625" style="18" customWidth="1"/>
    <col min="14622" max="14623" width="5.7265625" style="18" customWidth="1"/>
    <col min="14624" max="14624" width="8.453125" style="18" customWidth="1"/>
    <col min="14625" max="14625" width="16.54296875" style="18" customWidth="1"/>
    <col min="14626" max="14848" width="9" style="18"/>
    <col min="14849" max="14849" width="5" style="18" customWidth="1"/>
    <col min="14850" max="14850" width="8.1796875" style="18" customWidth="1"/>
    <col min="14851" max="14853" width="0" style="18" hidden="1" customWidth="1"/>
    <col min="14854" max="14854" width="8.1796875" style="18" customWidth="1"/>
    <col min="14855" max="14869" width="0" style="18" hidden="1" customWidth="1"/>
    <col min="14870" max="14870" width="6.7265625" style="18" customWidth="1"/>
    <col min="14871" max="14871" width="0" style="18" hidden="1" customWidth="1"/>
    <col min="14872" max="14872" width="8.7265625" style="18" customWidth="1"/>
    <col min="14873" max="14873" width="0.81640625" style="18" customWidth="1"/>
    <col min="14874" max="14874" width="9.81640625" style="18" customWidth="1"/>
    <col min="14875" max="14875" width="23.453125" style="18" customWidth="1"/>
    <col min="14876" max="14876" width="7.81640625" style="18" customWidth="1"/>
    <col min="14877" max="14877" width="7.7265625" style="18" customWidth="1"/>
    <col min="14878" max="14879" width="5.7265625" style="18" customWidth="1"/>
    <col min="14880" max="14880" width="8.453125" style="18" customWidth="1"/>
    <col min="14881" max="14881" width="16.54296875" style="18" customWidth="1"/>
    <col min="14882" max="15104" width="9" style="18"/>
    <col min="15105" max="15105" width="5" style="18" customWidth="1"/>
    <col min="15106" max="15106" width="8.1796875" style="18" customWidth="1"/>
    <col min="15107" max="15109" width="0" style="18" hidden="1" customWidth="1"/>
    <col min="15110" max="15110" width="8.1796875" style="18" customWidth="1"/>
    <col min="15111" max="15125" width="0" style="18" hidden="1" customWidth="1"/>
    <col min="15126" max="15126" width="6.7265625" style="18" customWidth="1"/>
    <col min="15127" max="15127" width="0" style="18" hidden="1" customWidth="1"/>
    <col min="15128" max="15128" width="8.7265625" style="18" customWidth="1"/>
    <col min="15129" max="15129" width="0.81640625" style="18" customWidth="1"/>
    <col min="15130" max="15130" width="9.81640625" style="18" customWidth="1"/>
    <col min="15131" max="15131" width="23.453125" style="18" customWidth="1"/>
    <col min="15132" max="15132" width="7.81640625" style="18" customWidth="1"/>
    <col min="15133" max="15133" width="7.7265625" style="18" customWidth="1"/>
    <col min="15134" max="15135" width="5.7265625" style="18" customWidth="1"/>
    <col min="15136" max="15136" width="8.453125" style="18" customWidth="1"/>
    <col min="15137" max="15137" width="16.54296875" style="18" customWidth="1"/>
    <col min="15138" max="15360" width="9" style="18"/>
    <col min="15361" max="15361" width="5" style="18" customWidth="1"/>
    <col min="15362" max="15362" width="8.1796875" style="18" customWidth="1"/>
    <col min="15363" max="15365" width="0" style="18" hidden="1" customWidth="1"/>
    <col min="15366" max="15366" width="8.1796875" style="18" customWidth="1"/>
    <col min="15367" max="15381" width="0" style="18" hidden="1" customWidth="1"/>
    <col min="15382" max="15382" width="6.7265625" style="18" customWidth="1"/>
    <col min="15383" max="15383" width="0" style="18" hidden="1" customWidth="1"/>
    <col min="15384" max="15384" width="8.7265625" style="18" customWidth="1"/>
    <col min="15385" max="15385" width="0.81640625" style="18" customWidth="1"/>
    <col min="15386" max="15386" width="9.81640625" style="18" customWidth="1"/>
    <col min="15387" max="15387" width="23.453125" style="18" customWidth="1"/>
    <col min="15388" max="15388" width="7.81640625" style="18" customWidth="1"/>
    <col min="15389" max="15389" width="7.7265625" style="18" customWidth="1"/>
    <col min="15390" max="15391" width="5.7265625" style="18" customWidth="1"/>
    <col min="15392" max="15392" width="8.453125" style="18" customWidth="1"/>
    <col min="15393" max="15393" width="16.54296875" style="18" customWidth="1"/>
    <col min="15394" max="15616" width="9" style="18"/>
    <col min="15617" max="15617" width="5" style="18" customWidth="1"/>
    <col min="15618" max="15618" width="8.1796875" style="18" customWidth="1"/>
    <col min="15619" max="15621" width="0" style="18" hidden="1" customWidth="1"/>
    <col min="15622" max="15622" width="8.1796875" style="18" customWidth="1"/>
    <col min="15623" max="15637" width="0" style="18" hidden="1" customWidth="1"/>
    <col min="15638" max="15638" width="6.7265625" style="18" customWidth="1"/>
    <col min="15639" max="15639" width="0" style="18" hidden="1" customWidth="1"/>
    <col min="15640" max="15640" width="8.7265625" style="18" customWidth="1"/>
    <col min="15641" max="15641" width="0.81640625" style="18" customWidth="1"/>
    <col min="15642" max="15642" width="9.81640625" style="18" customWidth="1"/>
    <col min="15643" max="15643" width="23.453125" style="18" customWidth="1"/>
    <col min="15644" max="15644" width="7.81640625" style="18" customWidth="1"/>
    <col min="15645" max="15645" width="7.7265625" style="18" customWidth="1"/>
    <col min="15646" max="15647" width="5.7265625" style="18" customWidth="1"/>
    <col min="15648" max="15648" width="8.453125" style="18" customWidth="1"/>
    <col min="15649" max="15649" width="16.54296875" style="18" customWidth="1"/>
    <col min="15650" max="15872" width="9" style="18"/>
    <col min="15873" max="15873" width="5" style="18" customWidth="1"/>
    <col min="15874" max="15874" width="8.1796875" style="18" customWidth="1"/>
    <col min="15875" max="15877" width="0" style="18" hidden="1" customWidth="1"/>
    <col min="15878" max="15878" width="8.1796875" style="18" customWidth="1"/>
    <col min="15879" max="15893" width="0" style="18" hidden="1" customWidth="1"/>
    <col min="15894" max="15894" width="6.7265625" style="18" customWidth="1"/>
    <col min="15895" max="15895" width="0" style="18" hidden="1" customWidth="1"/>
    <col min="15896" max="15896" width="8.7265625" style="18" customWidth="1"/>
    <col min="15897" max="15897" width="0.81640625" style="18" customWidth="1"/>
    <col min="15898" max="15898" width="9.81640625" style="18" customWidth="1"/>
    <col min="15899" max="15899" width="23.453125" style="18" customWidth="1"/>
    <col min="15900" max="15900" width="7.81640625" style="18" customWidth="1"/>
    <col min="15901" max="15901" width="7.7265625" style="18" customWidth="1"/>
    <col min="15902" max="15903" width="5.7265625" style="18" customWidth="1"/>
    <col min="15904" max="15904" width="8.453125" style="18" customWidth="1"/>
    <col min="15905" max="15905" width="16.54296875" style="18" customWidth="1"/>
    <col min="15906" max="16128" width="9" style="18"/>
    <col min="16129" max="16129" width="5" style="18" customWidth="1"/>
    <col min="16130" max="16130" width="8.1796875" style="18" customWidth="1"/>
    <col min="16131" max="16133" width="0" style="18" hidden="1" customWidth="1"/>
    <col min="16134" max="16134" width="8.1796875" style="18" customWidth="1"/>
    <col min="16135" max="16149" width="0" style="18" hidden="1" customWidth="1"/>
    <col min="16150" max="16150" width="6.7265625" style="18" customWidth="1"/>
    <col min="16151" max="16151" width="0" style="18" hidden="1" customWidth="1"/>
    <col min="16152" max="16152" width="8.7265625" style="18" customWidth="1"/>
    <col min="16153" max="16153" width="0.81640625" style="18" customWidth="1"/>
    <col min="16154" max="16154" width="9.81640625" style="18" customWidth="1"/>
    <col min="16155" max="16155" width="23.453125" style="18" customWidth="1"/>
    <col min="16156" max="16156" width="7.81640625" style="18" customWidth="1"/>
    <col min="16157" max="16157" width="7.7265625" style="18" customWidth="1"/>
    <col min="16158" max="16159" width="5.7265625" style="18" customWidth="1"/>
    <col min="16160" max="16160" width="8.453125" style="18" customWidth="1"/>
    <col min="16161" max="16161" width="16.54296875" style="18" customWidth="1"/>
    <col min="16162" max="16384" width="9" style="18"/>
  </cols>
  <sheetData>
    <row r="1" spans="1:33" x14ac:dyDescent="0.2">
      <c r="A1" s="48"/>
      <c r="B1" s="373" t="s">
        <v>277</v>
      </c>
      <c r="C1" s="373"/>
      <c r="J1" s="43" t="s">
        <v>48</v>
      </c>
      <c r="K1" s="43" t="s">
        <v>47</v>
      </c>
      <c r="O1" s="19"/>
      <c r="P1" s="81">
        <v>3.0000000000000001E-3</v>
      </c>
      <c r="Q1" s="80"/>
      <c r="T1" s="43" t="s">
        <v>258</v>
      </c>
      <c r="V1" s="373" t="s">
        <v>278</v>
      </c>
      <c r="W1" s="373"/>
      <c r="X1" s="373"/>
      <c r="Y1" s="43"/>
      <c r="Z1" s="373" t="s">
        <v>291</v>
      </c>
      <c r="AA1" s="373"/>
      <c r="AC1" s="199" t="s">
        <v>279</v>
      </c>
      <c r="AD1" s="378">
        <v>2.1012649394111932E-3</v>
      </c>
      <c r="AE1" s="378"/>
      <c r="AF1" s="43" t="s">
        <v>280</v>
      </c>
    </row>
    <row r="2" spans="1:33" ht="12.5" x14ac:dyDescent="0.25">
      <c r="A2" s="46" t="s">
        <v>28</v>
      </c>
      <c r="B2" s="46" t="s">
        <v>27</v>
      </c>
      <c r="C2" s="47" t="s">
        <v>26</v>
      </c>
      <c r="D2" s="44"/>
      <c r="E2" s="46" t="s">
        <v>24</v>
      </c>
      <c r="F2" s="45" t="s">
        <v>23</v>
      </c>
      <c r="G2" s="44"/>
      <c r="H2" s="45"/>
      <c r="I2" s="44"/>
      <c r="J2" s="67" t="s">
        <v>45</v>
      </c>
      <c r="K2" s="67" t="s">
        <v>45</v>
      </c>
      <c r="L2" s="46" t="s">
        <v>44</v>
      </c>
      <c r="M2" s="67" t="s">
        <v>43</v>
      </c>
      <c r="N2" s="68" t="s">
        <v>42</v>
      </c>
      <c r="O2" s="67" t="s">
        <v>41</v>
      </c>
      <c r="P2" s="148" t="s">
        <v>253</v>
      </c>
      <c r="Q2" s="67"/>
      <c r="R2" s="46" t="s">
        <v>39</v>
      </c>
      <c r="S2" s="46" t="s">
        <v>38</v>
      </c>
      <c r="T2" s="46" t="s">
        <v>58</v>
      </c>
      <c r="U2" s="67" t="s">
        <v>254</v>
      </c>
      <c r="V2" s="46" t="s">
        <v>261</v>
      </c>
      <c r="W2" s="46" t="s">
        <v>262</v>
      </c>
      <c r="X2" s="46" t="s">
        <v>263</v>
      </c>
      <c r="Y2" s="46"/>
      <c r="Z2" s="46" t="s">
        <v>264</v>
      </c>
      <c r="AA2" s="113" t="s">
        <v>220</v>
      </c>
      <c r="AB2" s="46" t="s">
        <v>265</v>
      </c>
      <c r="AC2" s="46" t="s">
        <v>217</v>
      </c>
      <c r="AD2" s="46" t="s">
        <v>266</v>
      </c>
      <c r="AE2" s="46" t="s">
        <v>267</v>
      </c>
      <c r="AF2" s="46" t="s">
        <v>281</v>
      </c>
      <c r="AG2" s="20"/>
    </row>
    <row r="3" spans="1:33" x14ac:dyDescent="0.2">
      <c r="A3" s="34">
        <v>0</v>
      </c>
      <c r="B3" s="32">
        <v>1</v>
      </c>
      <c r="C3" s="53">
        <f t="shared" ref="C3:C15" si="0">(-1/0.25)*LN(B4/B3)</f>
        <v>2.0005001667289714E-3</v>
      </c>
      <c r="D3" s="42"/>
      <c r="E3" s="29">
        <v>-0.67507065600497307</v>
      </c>
      <c r="F3" s="149">
        <v>-7.4403538051394499E-4</v>
      </c>
      <c r="G3" s="25"/>
      <c r="H3" s="26"/>
      <c r="I3" s="39"/>
      <c r="J3" s="32">
        <f>B_(A3,A5)</f>
        <v>0.49626867989791179</v>
      </c>
      <c r="K3" s="32">
        <f>A_(A3,A5,AD1)</f>
        <v>1</v>
      </c>
      <c r="L3" s="51">
        <f>B5/B3*K3*EXP(-J3*F3)</f>
        <v>0.99865467663738983</v>
      </c>
      <c r="M3" s="63" t="s">
        <v>37</v>
      </c>
      <c r="N3" s="55"/>
      <c r="O3" s="61" t="s">
        <v>36</v>
      </c>
      <c r="Q3" s="21"/>
      <c r="R3" s="51"/>
      <c r="S3" s="150" t="s">
        <v>255</v>
      </c>
      <c r="T3" s="156">
        <f>T16*1000000</f>
        <v>2.0895448818789152E-2</v>
      </c>
      <c r="U3" s="79"/>
    </row>
    <row r="4" spans="1:33" x14ac:dyDescent="0.2">
      <c r="A4" s="34">
        <v>0.25</v>
      </c>
      <c r="B4" s="32">
        <v>0.99950000000000006</v>
      </c>
      <c r="C4" s="53">
        <f t="shared" si="0"/>
        <v>4.8613821477565674E-3</v>
      </c>
      <c r="D4" s="42"/>
      <c r="E4" s="29">
        <v>-0.5430408511119118</v>
      </c>
      <c r="F4" s="53">
        <f t="shared" ref="F4:F15" si="1">$F$3</f>
        <v>-7.4403538051394499E-4</v>
      </c>
      <c r="G4" s="38"/>
      <c r="H4" s="26"/>
      <c r="I4" s="39"/>
      <c r="J4" s="60" t="s">
        <v>35</v>
      </c>
      <c r="K4" s="60" t="s">
        <v>34</v>
      </c>
      <c r="L4" s="51"/>
      <c r="M4" s="59"/>
      <c r="N4" s="152" t="s">
        <v>256</v>
      </c>
      <c r="O4" s="58"/>
      <c r="P4" s="49"/>
      <c r="Q4" s="21"/>
      <c r="R4" s="51"/>
      <c r="S4" s="51"/>
      <c r="T4" s="32"/>
      <c r="U4" s="79"/>
    </row>
    <row r="5" spans="1:33" x14ac:dyDescent="0.2">
      <c r="A5" s="34">
        <v>0.5</v>
      </c>
      <c r="B5" s="32">
        <v>0.99828600000000001</v>
      </c>
      <c r="C5" s="53">
        <f t="shared" si="0"/>
        <v>3.3792165174211758E-3</v>
      </c>
      <c r="D5" s="30"/>
      <c r="E5" s="29">
        <v>1.2418480792648157</v>
      </c>
      <c r="F5" s="53">
        <f t="shared" si="1"/>
        <v>-7.4403538051394499E-4</v>
      </c>
      <c r="G5" s="38"/>
      <c r="H5" s="26"/>
      <c r="I5" s="25"/>
      <c r="J5" s="32">
        <f>B_(A5,A7)</f>
        <v>0.49626867989791179</v>
      </c>
      <c r="K5" s="32">
        <f>A_(A5,A7,AD1)</f>
        <v>0.99999946235866977</v>
      </c>
      <c r="L5" s="51">
        <f>B7/B5*K5*EXP(-J5*F5)</f>
        <v>0.99869127924800849</v>
      </c>
      <c r="M5" s="63" t="s">
        <v>33</v>
      </c>
      <c r="N5" s="152" t="s">
        <v>257</v>
      </c>
      <c r="O5" s="61" t="s">
        <v>32</v>
      </c>
      <c r="P5" s="52"/>
      <c r="Q5" s="75"/>
      <c r="R5" s="51"/>
      <c r="S5" s="51"/>
      <c r="T5" s="32"/>
      <c r="U5" s="79"/>
      <c r="V5" s="167"/>
      <c r="W5" s="167"/>
      <c r="X5" s="167"/>
      <c r="Y5" s="167"/>
      <c r="Z5" s="167"/>
      <c r="AA5" s="167" t="s">
        <v>292</v>
      </c>
      <c r="AB5" s="167"/>
      <c r="AC5" s="167"/>
      <c r="AD5" s="167"/>
      <c r="AE5" s="167"/>
      <c r="AF5" s="167"/>
    </row>
    <row r="6" spans="1:33" ht="12" customHeight="1" x14ac:dyDescent="0.2">
      <c r="A6" s="34">
        <v>0.75</v>
      </c>
      <c r="B6" s="32">
        <v>0.99744299999999997</v>
      </c>
      <c r="C6" s="53">
        <f t="shared" si="0"/>
        <v>3.3339102406177322E-3</v>
      </c>
      <c r="E6" s="29">
        <v>1.8111783769925407</v>
      </c>
      <c r="F6" s="53">
        <f t="shared" si="1"/>
        <v>-7.4403538051394499E-4</v>
      </c>
      <c r="G6" s="27"/>
      <c r="H6" s="26"/>
      <c r="I6" s="25"/>
      <c r="J6" s="60" t="s">
        <v>31</v>
      </c>
      <c r="K6" s="60" t="s">
        <v>30</v>
      </c>
      <c r="L6" s="51"/>
      <c r="M6" s="59"/>
      <c r="N6" s="55"/>
      <c r="O6" s="58"/>
      <c r="R6" s="153"/>
      <c r="S6" s="153"/>
      <c r="T6" s="32"/>
      <c r="U6" s="79"/>
      <c r="V6" s="194"/>
      <c r="W6" s="195"/>
      <c r="X6" s="196"/>
      <c r="Y6" s="196"/>
      <c r="Z6" s="197"/>
      <c r="AA6" s="197"/>
      <c r="AB6" s="197"/>
      <c r="AC6" s="197"/>
      <c r="AD6" s="197"/>
      <c r="AE6" s="197"/>
      <c r="AF6" s="197"/>
    </row>
    <row r="7" spans="1:33" ht="12" customHeight="1" x14ac:dyDescent="0.2">
      <c r="A7" s="36">
        <v>1</v>
      </c>
      <c r="B7" s="32">
        <v>0.99661200000000005</v>
      </c>
      <c r="C7" s="53">
        <f t="shared" si="0"/>
        <v>3.4411332966454841E-3</v>
      </c>
      <c r="D7" s="30"/>
      <c r="E7" s="29">
        <v>-1.1783750715028232</v>
      </c>
      <c r="F7" s="53">
        <f t="shared" si="1"/>
        <v>-7.4403538051394499E-4</v>
      </c>
      <c r="G7" s="30"/>
      <c r="H7" s="26"/>
      <c r="I7" s="30"/>
      <c r="J7" s="32">
        <f>B_(A7,A9)</f>
        <v>0.49626867989791179</v>
      </c>
      <c r="K7" s="32">
        <f>A_(A7,A9,AD1)</f>
        <v>0.99999840899230541</v>
      </c>
      <c r="L7" s="51">
        <f>B9/B7*K7*EXP(-J7*F7)</f>
        <v>0.99861714579982808</v>
      </c>
      <c r="M7" s="30" t="s">
        <v>13</v>
      </c>
      <c r="N7" s="55">
        <f>(1/L7-1)*360/182.5</f>
        <v>2.7315993875872829E-3</v>
      </c>
      <c r="O7" s="30" t="s">
        <v>13</v>
      </c>
      <c r="P7" s="376"/>
      <c r="Q7" s="376"/>
      <c r="R7" s="376"/>
      <c r="S7" s="376"/>
      <c r="T7" s="32"/>
      <c r="U7" s="79"/>
      <c r="V7" s="194"/>
      <c r="W7" s="195"/>
      <c r="X7" s="198"/>
      <c r="Y7" s="198"/>
      <c r="Z7" s="197"/>
      <c r="AA7" s="197"/>
      <c r="AB7" s="197"/>
      <c r="AC7" s="198"/>
      <c r="AD7" s="198"/>
      <c r="AE7" s="198"/>
      <c r="AF7" s="198"/>
    </row>
    <row r="8" spans="1:33" x14ac:dyDescent="0.2">
      <c r="A8" s="36">
        <v>1.25</v>
      </c>
      <c r="B8" s="32">
        <v>0.99575499999999995</v>
      </c>
      <c r="C8" s="53">
        <f t="shared" si="0"/>
        <v>3.5647133935636827E-3</v>
      </c>
      <c r="D8" s="30"/>
      <c r="E8" s="29">
        <v>-1.4371494454763298</v>
      </c>
      <c r="F8" s="53">
        <f t="shared" si="1"/>
        <v>-7.4403538051394499E-4</v>
      </c>
      <c r="G8" s="35"/>
      <c r="H8" s="26"/>
      <c r="I8" s="25"/>
      <c r="L8" s="51"/>
      <c r="M8" s="51"/>
      <c r="N8" s="55"/>
      <c r="O8" s="58"/>
      <c r="Q8" s="153"/>
      <c r="U8" s="19"/>
      <c r="V8" s="199"/>
      <c r="W8" s="199"/>
      <c r="X8" s="199"/>
      <c r="Y8" s="199"/>
      <c r="Z8" s="200"/>
      <c r="AA8" s="200"/>
      <c r="AB8" s="200"/>
      <c r="AC8" s="200"/>
      <c r="AD8" s="200"/>
      <c r="AE8" s="200"/>
      <c r="AF8" s="200"/>
    </row>
    <row r="9" spans="1:33" x14ac:dyDescent="0.2">
      <c r="A9" s="36">
        <v>1.5</v>
      </c>
      <c r="B9" s="32">
        <v>0.99486799999999997</v>
      </c>
      <c r="C9" s="53">
        <f t="shared" si="0"/>
        <v>3.3827831036780075E-3</v>
      </c>
      <c r="D9" s="30"/>
      <c r="E9" s="29">
        <v>-0.58006141594203009</v>
      </c>
      <c r="F9" s="53">
        <f t="shared" si="1"/>
        <v>-7.4403538051394499E-4</v>
      </c>
      <c r="G9" s="35"/>
      <c r="H9" s="26"/>
      <c r="I9" s="25"/>
      <c r="J9" s="32">
        <f>B_(A9,A11)</f>
        <v>0.49626867989791179</v>
      </c>
      <c r="K9" s="32">
        <f>A_(A9,A11,AD1)</f>
        <v>0.99999686305919755</v>
      </c>
      <c r="L9" s="51">
        <f>B11/B9*K9*EXP(-J9*F9)</f>
        <v>0.99869297538271129</v>
      </c>
      <c r="M9" s="51"/>
      <c r="N9" s="55">
        <f>(1/L9-1)*360/182.5</f>
        <v>2.5816145747548092E-3</v>
      </c>
      <c r="O9" s="54"/>
      <c r="P9" s="154">
        <f>N7*182.5/360-$P$1/2</f>
        <v>-1.1523086601478009E-4</v>
      </c>
      <c r="Q9" s="155"/>
      <c r="R9" s="51">
        <f>B_(A9,$A$15)</f>
        <v>1.4667506055633348</v>
      </c>
      <c r="S9" s="51">
        <f>A_(A9,$A$15,AD1)</f>
        <v>0.99998622081662114</v>
      </c>
      <c r="T9" s="32">
        <f>P9*B9/S9*EXP(R9*F9)</f>
        <v>-1.1451603965684102E-4</v>
      </c>
      <c r="U9" s="70" t="s">
        <v>55</v>
      </c>
      <c r="V9" s="162">
        <f>B_($A$7,A9)</f>
        <v>0.49626867989791179</v>
      </c>
      <c r="W9" s="162">
        <f>A_($A$7,A9,AD1)</f>
        <v>0.99999840899230541</v>
      </c>
      <c r="X9" s="163">
        <f>B9/$B$7*W9*EXP(-V9*F9)</f>
        <v>0.99861714579982808</v>
      </c>
      <c r="Y9" s="163"/>
      <c r="Z9" s="168">
        <f>B_(0,2*A7)</f>
        <v>1.9411822138583761</v>
      </c>
      <c r="AA9" s="169">
        <f>SQRT(0.5*$AD$1^2*Z9*V9^2)</f>
        <v>1.0273438732433897E-3</v>
      </c>
      <c r="AB9" s="168">
        <f>LN(B9/($B$7*X9))/AA9+AA9/2</f>
        <v>-0.35735135914020788</v>
      </c>
      <c r="AC9" s="170">
        <f>AB9-AA9</f>
        <v>-0.35837870301345126</v>
      </c>
      <c r="AD9" s="171">
        <f>NORMSDIST(-AB9)</f>
        <v>0.63958560716234691</v>
      </c>
      <c r="AE9" s="171">
        <f>NORMSDIST(-AC9)</f>
        <v>0.63997003639621908</v>
      </c>
      <c r="AF9" s="32">
        <f>$B$7*X9*AE9-B9*AD9</f>
        <v>6.1657716374075022E-4</v>
      </c>
    </row>
    <row r="10" spans="1:33" x14ac:dyDescent="0.2">
      <c r="A10" s="34">
        <v>1.75</v>
      </c>
      <c r="B10" s="32">
        <v>0.99402699999999999</v>
      </c>
      <c r="C10" s="53">
        <f t="shared" si="0"/>
        <v>3.3131530136250634E-3</v>
      </c>
      <c r="D10" s="30"/>
      <c r="E10" s="29">
        <v>9.115681248478294E-2</v>
      </c>
      <c r="F10" s="53">
        <f t="shared" si="1"/>
        <v>-7.4403538051394499E-4</v>
      </c>
      <c r="G10" s="27"/>
      <c r="H10" s="26"/>
      <c r="I10" s="25"/>
      <c r="L10" s="51"/>
      <c r="M10" s="51"/>
      <c r="N10" s="57"/>
      <c r="O10" s="56"/>
      <c r="P10" s="76"/>
      <c r="Q10" s="19"/>
      <c r="R10" s="70"/>
      <c r="S10" s="70"/>
      <c r="U10" s="19"/>
      <c r="V10" s="164"/>
      <c r="W10" s="165"/>
      <c r="X10" s="165"/>
      <c r="Y10" s="165"/>
      <c r="Z10" s="172"/>
      <c r="AA10" s="173"/>
      <c r="AB10" s="173"/>
      <c r="AC10" s="174"/>
      <c r="AD10" s="175"/>
      <c r="AE10" s="175"/>
      <c r="AF10" s="173"/>
    </row>
    <row r="11" spans="1:33" ht="16.5" customHeight="1" x14ac:dyDescent="0.2">
      <c r="A11" s="34">
        <v>2</v>
      </c>
      <c r="B11" s="32">
        <v>0.99320399999999998</v>
      </c>
      <c r="C11" s="53">
        <f t="shared" si="0"/>
        <v>3.9769905981912419E-3</v>
      </c>
      <c r="D11" s="30"/>
      <c r="E11" s="29">
        <v>-0.39582998146204917</v>
      </c>
      <c r="F11" s="53">
        <f t="shared" si="1"/>
        <v>-7.4403538051394499E-4</v>
      </c>
      <c r="G11" s="27"/>
      <c r="H11" s="26"/>
      <c r="I11" s="25"/>
      <c r="J11" s="32">
        <f>B_(A11,A13)</f>
        <v>0.49626867989791179</v>
      </c>
      <c r="K11" s="32">
        <f>A_(A11,A13,AD1)</f>
        <v>0.99999484691602958</v>
      </c>
      <c r="L11" s="51">
        <f>B13/B11*K11*EXP(-J11*F11)</f>
        <v>0.99837290216141905</v>
      </c>
      <c r="M11" s="51"/>
      <c r="N11" s="55">
        <f>(1/L11-1)*360/182.5</f>
        <v>3.2148485272773717E-3</v>
      </c>
      <c r="O11" s="54"/>
      <c r="P11" s="154">
        <f>N9*182.5/360-$P$1/2</f>
        <v>-1.9126483363124261E-4</v>
      </c>
      <c r="R11" s="51">
        <f>B_(A11,$A$15)</f>
        <v>0.98514888171639492</v>
      </c>
      <c r="S11" s="51">
        <f>A_(A11,$A$15,AD1)</f>
        <v>0.99998776673327672</v>
      </c>
      <c r="T11" s="32">
        <f>P11*B11/S11*EXP(R11*F11)</f>
        <v>-1.8982812944631758E-4</v>
      </c>
      <c r="U11" s="70" t="s">
        <v>51</v>
      </c>
      <c r="V11" s="162">
        <f>B_($A$7,A11)</f>
        <v>0.98514888171639492</v>
      </c>
      <c r="W11" s="162">
        <f>A_($A$7,A11,AD1)</f>
        <v>0.99999580969557123</v>
      </c>
      <c r="X11" s="163">
        <f>B11/$B$7*W11*EXP(-V11*F11)</f>
        <v>0.99730698230354931</v>
      </c>
      <c r="Y11" s="163"/>
      <c r="Z11" s="168">
        <f>B_(0,2*A7)</f>
        <v>1.9411822138583761</v>
      </c>
      <c r="AA11" s="169">
        <f>SQRT(0.5*$AD$1^2*Z11*V11^2)</f>
        <v>2.0393925888535077E-3</v>
      </c>
      <c r="AB11" s="168">
        <f>LN(B11/($B$7*X11))/AA11+AA11/2</f>
        <v>-0.3563393104244798</v>
      </c>
      <c r="AC11" s="170">
        <f>AB11-AA11</f>
        <v>-0.3583787030133333</v>
      </c>
      <c r="AD11" s="171">
        <f>NORMSDIST(-AB11)</f>
        <v>0.63920676331048032</v>
      </c>
      <c r="AE11" s="171">
        <f>NORMSDIST(-AC11)</f>
        <v>0.63997003639617489</v>
      </c>
      <c r="AF11" s="32">
        <f>$B$7*X11*AE11-B11*AD11</f>
        <v>1.2214921833746395E-3</v>
      </c>
    </row>
    <row r="12" spans="1:33" x14ac:dyDescent="0.2">
      <c r="A12" s="34">
        <v>2.25</v>
      </c>
      <c r="B12" s="32">
        <v>0.99221700000000002</v>
      </c>
      <c r="C12" s="53">
        <f t="shared" si="0"/>
        <v>3.993054836794096E-3</v>
      </c>
      <c r="D12" s="30"/>
      <c r="E12" s="29">
        <v>1.4472308550796522</v>
      </c>
      <c r="F12" s="53">
        <f t="shared" si="1"/>
        <v>-7.4403538051394499E-4</v>
      </c>
      <c r="G12" s="27"/>
      <c r="H12" s="26"/>
      <c r="I12" s="25"/>
      <c r="L12" s="51"/>
      <c r="M12" s="51"/>
      <c r="P12" s="75"/>
      <c r="Q12" s="19"/>
      <c r="U12" s="19"/>
      <c r="V12" s="164"/>
      <c r="W12" s="165"/>
      <c r="X12" s="165"/>
      <c r="Y12" s="165"/>
      <c r="Z12" s="172"/>
      <c r="AA12" s="173"/>
      <c r="AB12" s="173"/>
      <c r="AC12" s="174"/>
      <c r="AD12" s="175"/>
      <c r="AE12" s="175"/>
      <c r="AF12" s="173"/>
    </row>
    <row r="13" spans="1:33" ht="16.5" customHeight="1" x14ac:dyDescent="0.2">
      <c r="A13" s="34">
        <v>2.5</v>
      </c>
      <c r="B13" s="32">
        <v>0.99122699999999997</v>
      </c>
      <c r="C13" s="53">
        <f t="shared" si="0"/>
        <v>4.0051238242411347E-3</v>
      </c>
      <c r="D13" s="30"/>
      <c r="E13" s="29">
        <v>1.0613552090498217</v>
      </c>
      <c r="F13" s="53">
        <f t="shared" si="1"/>
        <v>-7.4403538051394499E-4</v>
      </c>
      <c r="G13" s="27"/>
      <c r="H13" s="26"/>
      <c r="I13" s="25"/>
      <c r="J13" s="32">
        <f>B_(A13,A15)</f>
        <v>0.49626867989791179</v>
      </c>
      <c r="K13" s="32">
        <f>A_(A13,A15,AD1)</f>
        <v>0.9999923821432386</v>
      </c>
      <c r="L13" s="51">
        <f>B15/B13*K13*EXP(-J13*F13)</f>
        <v>0.99832509201059183</v>
      </c>
      <c r="M13" s="51"/>
      <c r="N13" s="55">
        <f>(1/L13-1)*360/182.5</f>
        <v>3.3094711483627262E-3</v>
      </c>
      <c r="O13" s="54"/>
      <c r="P13" s="154">
        <f>N11*182.5/360-$P$1/2</f>
        <v>1.2974960063366755E-4</v>
      </c>
      <c r="Q13" s="30"/>
      <c r="R13" s="51">
        <f>B_(A13,$A$15)</f>
        <v>0.49626867989791179</v>
      </c>
      <c r="S13" s="51">
        <f>A_(A13,$A$15,AD1)</f>
        <v>0.9999923821432386</v>
      </c>
      <c r="T13" s="32">
        <f>P13*B13/S13*EXP(R13*F13)</f>
        <v>1.2856480691548914E-4</v>
      </c>
      <c r="U13" s="30" t="s">
        <v>13</v>
      </c>
      <c r="V13" s="162">
        <f>B_($A$7,A13)</f>
        <v>1.4667506055633348</v>
      </c>
      <c r="W13" s="162">
        <f>A_($A$7,A13,AD1)</f>
        <v>0.99999224762855432</v>
      </c>
      <c r="X13" s="163">
        <f>B13/$B$7*W13*EXP(-V13*F13)</f>
        <v>0.99567498481631922</v>
      </c>
      <c r="Y13" s="163"/>
      <c r="Z13" s="168">
        <f>B_(0,2*A7)</f>
        <v>1.9411822138583761</v>
      </c>
      <c r="AA13" s="169">
        <f>SQRT(0.5*$AD$1^2*Z13*V13^2)</f>
        <v>3.036373862060974E-3</v>
      </c>
      <c r="AB13" s="168">
        <f>LN(B13/($B$7*X13))/AA13+AA13/2</f>
        <v>-0.35534232915127667</v>
      </c>
      <c r="AC13" s="170">
        <f>AB13-AA13</f>
        <v>-0.35837870301333763</v>
      </c>
      <c r="AD13" s="171">
        <f>NORMSDIST(-AB13)</f>
        <v>0.63883342609553218</v>
      </c>
      <c r="AE13" s="171">
        <f>NORMSDIST(-AC13)</f>
        <v>0.63997003639617656</v>
      </c>
      <c r="AF13" s="32">
        <f>$B$7*X13*AE13-B13*AD13</f>
        <v>1.8143749178179958E-3</v>
      </c>
    </row>
    <row r="14" spans="1:33" x14ac:dyDescent="0.2">
      <c r="A14" s="34">
        <v>2.75</v>
      </c>
      <c r="B14" s="32">
        <v>0.99023499999999998</v>
      </c>
      <c r="C14" s="53">
        <f t="shared" si="0"/>
        <v>4.1466193209117735E-3</v>
      </c>
      <c r="D14" s="30"/>
      <c r="E14" s="29">
        <v>1.5024120898917386</v>
      </c>
      <c r="F14" s="53">
        <f t="shared" si="1"/>
        <v>-7.4403538051394499E-4</v>
      </c>
      <c r="G14" s="27"/>
      <c r="H14" s="26"/>
      <c r="I14" s="25"/>
      <c r="Q14" s="19"/>
      <c r="V14" s="162"/>
      <c r="W14" s="162"/>
      <c r="X14" s="166"/>
      <c r="Y14" s="166"/>
      <c r="Z14" s="176"/>
      <c r="AA14" s="177"/>
      <c r="AB14" s="178"/>
      <c r="AC14" s="174"/>
      <c r="AD14" s="175"/>
      <c r="AE14" s="175"/>
      <c r="AF14" s="159"/>
    </row>
    <row r="15" spans="1:33" x14ac:dyDescent="0.2">
      <c r="A15" s="33">
        <v>3</v>
      </c>
      <c r="B15" s="32">
        <v>0.989209</v>
      </c>
      <c r="C15" s="53">
        <f t="shared" si="0"/>
        <v>4.8391132442122762E-3</v>
      </c>
      <c r="D15" s="30"/>
      <c r="E15" s="29">
        <v>0.49539021550278195</v>
      </c>
      <c r="F15" s="53">
        <f t="shared" si="1"/>
        <v>-7.4403538051394499E-4</v>
      </c>
      <c r="G15" s="27"/>
      <c r="H15" s="26"/>
      <c r="I15" s="25"/>
      <c r="P15" s="154">
        <f>N13*182.5/360-$P$1/2</f>
        <v>1.7771801271165974E-4</v>
      </c>
      <c r="Q15" s="75"/>
      <c r="R15" s="74">
        <f>B_(A15,$A$15)</f>
        <v>0</v>
      </c>
      <c r="S15" s="51">
        <f>A_(A15,$A$15,AD1)</f>
        <v>1</v>
      </c>
      <c r="T15" s="32">
        <f>P15*B15/S15*EXP(R15*F15)</f>
        <v>1.7580025763648822E-4</v>
      </c>
      <c r="V15" s="162">
        <f>B_($A$7,A15)</f>
        <v>1.9411822138583761</v>
      </c>
      <c r="W15" s="162">
        <f>A_($A$7,A15,AD1)</f>
        <v>0.99998776673327672</v>
      </c>
      <c r="X15" s="163">
        <f>B15/$B$7*W15*EXP(-V15*F15)</f>
        <v>0.99399428887433672</v>
      </c>
      <c r="Y15" s="163"/>
      <c r="Z15" s="168">
        <f>B_(0,2*A7)</f>
        <v>1.9411822138583761</v>
      </c>
      <c r="AA15" s="169">
        <f>SQRT(0.5*$AD$1^2*Z15*V15^2)</f>
        <v>4.01851201785832E-3</v>
      </c>
      <c r="AB15" s="168">
        <f>LN(B15/($B$7*X15))/AA15+AA15/2</f>
        <v>-0.3543601909954866</v>
      </c>
      <c r="AC15" s="170">
        <f>AB15-AA15</f>
        <v>-0.3583787030133449</v>
      </c>
      <c r="AD15" s="171">
        <f>NORMSDIST(-AB15)</f>
        <v>0.63846551780010219</v>
      </c>
      <c r="AE15" s="171">
        <f>NORMSDIST(-AC15)</f>
        <v>0.63997003639617933</v>
      </c>
      <c r="AF15" s="32">
        <f>$B$7*X15*AE15-B15*AD15</f>
        <v>2.3955280415403069E-3</v>
      </c>
    </row>
    <row r="16" spans="1:33" x14ac:dyDescent="0.2">
      <c r="A16" s="187">
        <v>3.25</v>
      </c>
      <c r="B16" s="100">
        <v>0.98801300000000003</v>
      </c>
      <c r="C16" s="46"/>
      <c r="D16" s="67"/>
      <c r="E16" s="188"/>
      <c r="F16" s="46"/>
      <c r="G16" s="99"/>
      <c r="H16" s="167"/>
      <c r="I16" s="99"/>
      <c r="J16" s="46"/>
      <c r="K16" s="46"/>
      <c r="L16" s="167"/>
      <c r="M16" s="167"/>
      <c r="N16" s="68"/>
      <c r="O16" s="167"/>
      <c r="P16" s="167"/>
      <c r="Q16" s="167"/>
      <c r="R16" s="189"/>
      <c r="S16" s="190" t="s">
        <v>50</v>
      </c>
      <c r="T16" s="191">
        <f>SUM(T9:T15)</f>
        <v>2.089544881878915E-8</v>
      </c>
      <c r="U16" s="192" t="s">
        <v>49</v>
      </c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93"/>
    </row>
    <row r="17" spans="29:32" ht="12.5" thickBot="1" x14ac:dyDescent="0.25">
      <c r="AE17" s="49" t="s">
        <v>282</v>
      </c>
      <c r="AF17" s="202">
        <f>AF15+P1*0.5*SUM(AF9:AF15)</f>
        <v>2.4046000000000176E-3</v>
      </c>
    </row>
    <row r="18" spans="29:32" ht="12.5" thickTop="1" x14ac:dyDescent="0.2">
      <c r="AC18" s="43"/>
      <c r="AE18" s="49" t="s">
        <v>294</v>
      </c>
      <c r="AF18" s="201">
        <f>AF17*10^7</f>
        <v>24046.000000000175</v>
      </c>
    </row>
  </sheetData>
  <mergeCells count="5">
    <mergeCell ref="B1:C1"/>
    <mergeCell ref="V1:X1"/>
    <mergeCell ref="Z1:AA1"/>
    <mergeCell ref="AD1:AE1"/>
    <mergeCell ref="P7:S7"/>
  </mergeCells>
  <phoneticPr fontId="3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/>
  <dimension ref="A1:F13"/>
  <sheetViews>
    <sheetView showGridLines="0" workbookViewId="0"/>
  </sheetViews>
  <sheetFormatPr defaultRowHeight="12" x14ac:dyDescent="0.2"/>
  <cols>
    <col min="1" max="1" width="8.54296875" style="18" customWidth="1"/>
    <col min="2" max="2" width="17.26953125" style="18" customWidth="1"/>
    <col min="3" max="3" width="13.54296875" style="18" bestFit="1" customWidth="1"/>
    <col min="4" max="4" width="16.453125" style="18" customWidth="1"/>
    <col min="5" max="5" width="9.1796875" style="18"/>
    <col min="6" max="6" width="19" style="18" bestFit="1" customWidth="1"/>
    <col min="7" max="223" width="9.1796875" style="18"/>
    <col min="224" max="224" width="5" style="18" customWidth="1"/>
    <col min="225" max="225" width="8.1796875" style="18" customWidth="1"/>
    <col min="226" max="228" width="0" style="18" hidden="1" customWidth="1"/>
    <col min="229" max="229" width="8.1796875" style="18" customWidth="1"/>
    <col min="230" max="242" width="0" style="18" hidden="1" customWidth="1"/>
    <col min="243" max="243" width="10.54296875" style="18" customWidth="1"/>
    <col min="244" max="244" width="0" style="18" hidden="1" customWidth="1"/>
    <col min="245" max="246" width="6.7265625" style="18" customWidth="1"/>
    <col min="247" max="247" width="8.7265625" style="18" customWidth="1"/>
    <col min="248" max="248" width="0.81640625" style="18" customWidth="1"/>
    <col min="249" max="250" width="6.81640625" style="18" customWidth="1"/>
    <col min="251" max="251" width="8" style="18" customWidth="1"/>
    <col min="252" max="252" width="7.7265625" style="18" customWidth="1"/>
    <col min="253" max="254" width="5.7265625" style="18" customWidth="1"/>
    <col min="255" max="255" width="8.453125" style="18" customWidth="1"/>
    <col min="256" max="479" width="9.1796875" style="18"/>
    <col min="480" max="480" width="5" style="18" customWidth="1"/>
    <col min="481" max="481" width="8.1796875" style="18" customWidth="1"/>
    <col min="482" max="484" width="0" style="18" hidden="1" customWidth="1"/>
    <col min="485" max="485" width="8.1796875" style="18" customWidth="1"/>
    <col min="486" max="498" width="0" style="18" hidden="1" customWidth="1"/>
    <col min="499" max="499" width="10.54296875" style="18" customWidth="1"/>
    <col min="500" max="500" width="0" style="18" hidden="1" customWidth="1"/>
    <col min="501" max="502" width="6.7265625" style="18" customWidth="1"/>
    <col min="503" max="503" width="8.7265625" style="18" customWidth="1"/>
    <col min="504" max="504" width="0.81640625" style="18" customWidth="1"/>
    <col min="505" max="506" width="6.81640625" style="18" customWidth="1"/>
    <col min="507" max="507" width="8" style="18" customWidth="1"/>
    <col min="508" max="508" width="7.7265625" style="18" customWidth="1"/>
    <col min="509" max="510" width="5.7265625" style="18" customWidth="1"/>
    <col min="511" max="511" width="8.453125" style="18" customWidth="1"/>
    <col min="512" max="735" width="9.1796875" style="18"/>
    <col min="736" max="736" width="5" style="18" customWidth="1"/>
    <col min="737" max="737" width="8.1796875" style="18" customWidth="1"/>
    <col min="738" max="740" width="0" style="18" hidden="1" customWidth="1"/>
    <col min="741" max="741" width="8.1796875" style="18" customWidth="1"/>
    <col min="742" max="754" width="0" style="18" hidden="1" customWidth="1"/>
    <col min="755" max="755" width="10.54296875" style="18" customWidth="1"/>
    <col min="756" max="756" width="0" style="18" hidden="1" customWidth="1"/>
    <col min="757" max="758" width="6.7265625" style="18" customWidth="1"/>
    <col min="759" max="759" width="8.7265625" style="18" customWidth="1"/>
    <col min="760" max="760" width="0.81640625" style="18" customWidth="1"/>
    <col min="761" max="762" width="6.81640625" style="18" customWidth="1"/>
    <col min="763" max="763" width="8" style="18" customWidth="1"/>
    <col min="764" max="764" width="7.7265625" style="18" customWidth="1"/>
    <col min="765" max="766" width="5.7265625" style="18" customWidth="1"/>
    <col min="767" max="767" width="8.453125" style="18" customWidth="1"/>
    <col min="768" max="991" width="9.1796875" style="18"/>
    <col min="992" max="992" width="5" style="18" customWidth="1"/>
    <col min="993" max="993" width="8.1796875" style="18" customWidth="1"/>
    <col min="994" max="996" width="0" style="18" hidden="1" customWidth="1"/>
    <col min="997" max="997" width="8.1796875" style="18" customWidth="1"/>
    <col min="998" max="1010" width="0" style="18" hidden="1" customWidth="1"/>
    <col min="1011" max="1011" width="10.54296875" style="18" customWidth="1"/>
    <col min="1012" max="1012" width="0" style="18" hidden="1" customWidth="1"/>
    <col min="1013" max="1014" width="6.7265625" style="18" customWidth="1"/>
    <col min="1015" max="1015" width="8.7265625" style="18" customWidth="1"/>
    <col min="1016" max="1016" width="0.81640625" style="18" customWidth="1"/>
    <col min="1017" max="1018" width="6.81640625" style="18" customWidth="1"/>
    <col min="1019" max="1019" width="8" style="18" customWidth="1"/>
    <col min="1020" max="1020" width="7.7265625" style="18" customWidth="1"/>
    <col min="1021" max="1022" width="5.7265625" style="18" customWidth="1"/>
    <col min="1023" max="1023" width="8.453125" style="18" customWidth="1"/>
    <col min="1024" max="1247" width="9.1796875" style="18"/>
    <col min="1248" max="1248" width="5" style="18" customWidth="1"/>
    <col min="1249" max="1249" width="8.1796875" style="18" customWidth="1"/>
    <col min="1250" max="1252" width="0" style="18" hidden="1" customWidth="1"/>
    <col min="1253" max="1253" width="8.1796875" style="18" customWidth="1"/>
    <col min="1254" max="1266" width="0" style="18" hidden="1" customWidth="1"/>
    <col min="1267" max="1267" width="10.54296875" style="18" customWidth="1"/>
    <col min="1268" max="1268" width="0" style="18" hidden="1" customWidth="1"/>
    <col min="1269" max="1270" width="6.7265625" style="18" customWidth="1"/>
    <col min="1271" max="1271" width="8.7265625" style="18" customWidth="1"/>
    <col min="1272" max="1272" width="0.81640625" style="18" customWidth="1"/>
    <col min="1273" max="1274" width="6.81640625" style="18" customWidth="1"/>
    <col min="1275" max="1275" width="8" style="18" customWidth="1"/>
    <col min="1276" max="1276" width="7.7265625" style="18" customWidth="1"/>
    <col min="1277" max="1278" width="5.7265625" style="18" customWidth="1"/>
    <col min="1279" max="1279" width="8.453125" style="18" customWidth="1"/>
    <col min="1280" max="1503" width="9.1796875" style="18"/>
    <col min="1504" max="1504" width="5" style="18" customWidth="1"/>
    <col min="1505" max="1505" width="8.1796875" style="18" customWidth="1"/>
    <col min="1506" max="1508" width="0" style="18" hidden="1" customWidth="1"/>
    <col min="1509" max="1509" width="8.1796875" style="18" customWidth="1"/>
    <col min="1510" max="1522" width="0" style="18" hidden="1" customWidth="1"/>
    <col min="1523" max="1523" width="10.54296875" style="18" customWidth="1"/>
    <col min="1524" max="1524" width="0" style="18" hidden="1" customWidth="1"/>
    <col min="1525" max="1526" width="6.7265625" style="18" customWidth="1"/>
    <col min="1527" max="1527" width="8.7265625" style="18" customWidth="1"/>
    <col min="1528" max="1528" width="0.81640625" style="18" customWidth="1"/>
    <col min="1529" max="1530" width="6.81640625" style="18" customWidth="1"/>
    <col min="1531" max="1531" width="8" style="18" customWidth="1"/>
    <col min="1532" max="1532" width="7.7265625" style="18" customWidth="1"/>
    <col min="1533" max="1534" width="5.7265625" style="18" customWidth="1"/>
    <col min="1535" max="1535" width="8.453125" style="18" customWidth="1"/>
    <col min="1536" max="1759" width="9.1796875" style="18"/>
    <col min="1760" max="1760" width="5" style="18" customWidth="1"/>
    <col min="1761" max="1761" width="8.1796875" style="18" customWidth="1"/>
    <col min="1762" max="1764" width="0" style="18" hidden="1" customWidth="1"/>
    <col min="1765" max="1765" width="8.1796875" style="18" customWidth="1"/>
    <col min="1766" max="1778" width="0" style="18" hidden="1" customWidth="1"/>
    <col min="1779" max="1779" width="10.54296875" style="18" customWidth="1"/>
    <col min="1780" max="1780" width="0" style="18" hidden="1" customWidth="1"/>
    <col min="1781" max="1782" width="6.7265625" style="18" customWidth="1"/>
    <col min="1783" max="1783" width="8.7265625" style="18" customWidth="1"/>
    <col min="1784" max="1784" width="0.81640625" style="18" customWidth="1"/>
    <col min="1785" max="1786" width="6.81640625" style="18" customWidth="1"/>
    <col min="1787" max="1787" width="8" style="18" customWidth="1"/>
    <col min="1788" max="1788" width="7.7265625" style="18" customWidth="1"/>
    <col min="1789" max="1790" width="5.7265625" style="18" customWidth="1"/>
    <col min="1791" max="1791" width="8.453125" style="18" customWidth="1"/>
    <col min="1792" max="2015" width="9.1796875" style="18"/>
    <col min="2016" max="2016" width="5" style="18" customWidth="1"/>
    <col min="2017" max="2017" width="8.1796875" style="18" customWidth="1"/>
    <col min="2018" max="2020" width="0" style="18" hidden="1" customWidth="1"/>
    <col min="2021" max="2021" width="8.1796875" style="18" customWidth="1"/>
    <col min="2022" max="2034" width="0" style="18" hidden="1" customWidth="1"/>
    <col min="2035" max="2035" width="10.54296875" style="18" customWidth="1"/>
    <col min="2036" max="2036" width="0" style="18" hidden="1" customWidth="1"/>
    <col min="2037" max="2038" width="6.7265625" style="18" customWidth="1"/>
    <col min="2039" max="2039" width="8.7265625" style="18" customWidth="1"/>
    <col min="2040" max="2040" width="0.81640625" style="18" customWidth="1"/>
    <col min="2041" max="2042" width="6.81640625" style="18" customWidth="1"/>
    <col min="2043" max="2043" width="8" style="18" customWidth="1"/>
    <col min="2044" max="2044" width="7.7265625" style="18" customWidth="1"/>
    <col min="2045" max="2046" width="5.7265625" style="18" customWidth="1"/>
    <col min="2047" max="2047" width="8.453125" style="18" customWidth="1"/>
    <col min="2048" max="2271" width="9.1796875" style="18"/>
    <col min="2272" max="2272" width="5" style="18" customWidth="1"/>
    <col min="2273" max="2273" width="8.1796875" style="18" customWidth="1"/>
    <col min="2274" max="2276" width="0" style="18" hidden="1" customWidth="1"/>
    <col min="2277" max="2277" width="8.1796875" style="18" customWidth="1"/>
    <col min="2278" max="2290" width="0" style="18" hidden="1" customWidth="1"/>
    <col min="2291" max="2291" width="10.54296875" style="18" customWidth="1"/>
    <col min="2292" max="2292" width="0" style="18" hidden="1" customWidth="1"/>
    <col min="2293" max="2294" width="6.7265625" style="18" customWidth="1"/>
    <col min="2295" max="2295" width="8.7265625" style="18" customWidth="1"/>
    <col min="2296" max="2296" width="0.81640625" style="18" customWidth="1"/>
    <col min="2297" max="2298" width="6.81640625" style="18" customWidth="1"/>
    <col min="2299" max="2299" width="8" style="18" customWidth="1"/>
    <col min="2300" max="2300" width="7.7265625" style="18" customWidth="1"/>
    <col min="2301" max="2302" width="5.7265625" style="18" customWidth="1"/>
    <col min="2303" max="2303" width="8.453125" style="18" customWidth="1"/>
    <col min="2304" max="2527" width="9.1796875" style="18"/>
    <col min="2528" max="2528" width="5" style="18" customWidth="1"/>
    <col min="2529" max="2529" width="8.1796875" style="18" customWidth="1"/>
    <col min="2530" max="2532" width="0" style="18" hidden="1" customWidth="1"/>
    <col min="2533" max="2533" width="8.1796875" style="18" customWidth="1"/>
    <col min="2534" max="2546" width="0" style="18" hidden="1" customWidth="1"/>
    <col min="2547" max="2547" width="10.54296875" style="18" customWidth="1"/>
    <col min="2548" max="2548" width="0" style="18" hidden="1" customWidth="1"/>
    <col min="2549" max="2550" width="6.7265625" style="18" customWidth="1"/>
    <col min="2551" max="2551" width="8.7265625" style="18" customWidth="1"/>
    <col min="2552" max="2552" width="0.81640625" style="18" customWidth="1"/>
    <col min="2553" max="2554" width="6.81640625" style="18" customWidth="1"/>
    <col min="2555" max="2555" width="8" style="18" customWidth="1"/>
    <col min="2556" max="2556" width="7.7265625" style="18" customWidth="1"/>
    <col min="2557" max="2558" width="5.7265625" style="18" customWidth="1"/>
    <col min="2559" max="2559" width="8.453125" style="18" customWidth="1"/>
    <col min="2560" max="2783" width="9.1796875" style="18"/>
    <col min="2784" max="2784" width="5" style="18" customWidth="1"/>
    <col min="2785" max="2785" width="8.1796875" style="18" customWidth="1"/>
    <col min="2786" max="2788" width="0" style="18" hidden="1" customWidth="1"/>
    <col min="2789" max="2789" width="8.1796875" style="18" customWidth="1"/>
    <col min="2790" max="2802" width="0" style="18" hidden="1" customWidth="1"/>
    <col min="2803" max="2803" width="10.54296875" style="18" customWidth="1"/>
    <col min="2804" max="2804" width="0" style="18" hidden="1" customWidth="1"/>
    <col min="2805" max="2806" width="6.7265625" style="18" customWidth="1"/>
    <col min="2807" max="2807" width="8.7265625" style="18" customWidth="1"/>
    <col min="2808" max="2808" width="0.81640625" style="18" customWidth="1"/>
    <col min="2809" max="2810" width="6.81640625" style="18" customWidth="1"/>
    <col min="2811" max="2811" width="8" style="18" customWidth="1"/>
    <col min="2812" max="2812" width="7.7265625" style="18" customWidth="1"/>
    <col min="2813" max="2814" width="5.7265625" style="18" customWidth="1"/>
    <col min="2815" max="2815" width="8.453125" style="18" customWidth="1"/>
    <col min="2816" max="3039" width="9.1796875" style="18"/>
    <col min="3040" max="3040" width="5" style="18" customWidth="1"/>
    <col min="3041" max="3041" width="8.1796875" style="18" customWidth="1"/>
    <col min="3042" max="3044" width="0" style="18" hidden="1" customWidth="1"/>
    <col min="3045" max="3045" width="8.1796875" style="18" customWidth="1"/>
    <col min="3046" max="3058" width="0" style="18" hidden="1" customWidth="1"/>
    <col min="3059" max="3059" width="10.54296875" style="18" customWidth="1"/>
    <col min="3060" max="3060" width="0" style="18" hidden="1" customWidth="1"/>
    <col min="3061" max="3062" width="6.7265625" style="18" customWidth="1"/>
    <col min="3063" max="3063" width="8.7265625" style="18" customWidth="1"/>
    <col min="3064" max="3064" width="0.81640625" style="18" customWidth="1"/>
    <col min="3065" max="3066" width="6.81640625" style="18" customWidth="1"/>
    <col min="3067" max="3067" width="8" style="18" customWidth="1"/>
    <col min="3068" max="3068" width="7.7265625" style="18" customWidth="1"/>
    <col min="3069" max="3070" width="5.7265625" style="18" customWidth="1"/>
    <col min="3071" max="3071" width="8.453125" style="18" customWidth="1"/>
    <col min="3072" max="3295" width="9.1796875" style="18"/>
    <col min="3296" max="3296" width="5" style="18" customWidth="1"/>
    <col min="3297" max="3297" width="8.1796875" style="18" customWidth="1"/>
    <col min="3298" max="3300" width="0" style="18" hidden="1" customWidth="1"/>
    <col min="3301" max="3301" width="8.1796875" style="18" customWidth="1"/>
    <col min="3302" max="3314" width="0" style="18" hidden="1" customWidth="1"/>
    <col min="3315" max="3315" width="10.54296875" style="18" customWidth="1"/>
    <col min="3316" max="3316" width="0" style="18" hidden="1" customWidth="1"/>
    <col min="3317" max="3318" width="6.7265625" style="18" customWidth="1"/>
    <col min="3319" max="3319" width="8.7265625" style="18" customWidth="1"/>
    <col min="3320" max="3320" width="0.81640625" style="18" customWidth="1"/>
    <col min="3321" max="3322" width="6.81640625" style="18" customWidth="1"/>
    <col min="3323" max="3323" width="8" style="18" customWidth="1"/>
    <col min="3324" max="3324" width="7.7265625" style="18" customWidth="1"/>
    <col min="3325" max="3326" width="5.7265625" style="18" customWidth="1"/>
    <col min="3327" max="3327" width="8.453125" style="18" customWidth="1"/>
    <col min="3328" max="3551" width="9.1796875" style="18"/>
    <col min="3552" max="3552" width="5" style="18" customWidth="1"/>
    <col min="3553" max="3553" width="8.1796875" style="18" customWidth="1"/>
    <col min="3554" max="3556" width="0" style="18" hidden="1" customWidth="1"/>
    <col min="3557" max="3557" width="8.1796875" style="18" customWidth="1"/>
    <col min="3558" max="3570" width="0" style="18" hidden="1" customWidth="1"/>
    <col min="3571" max="3571" width="10.54296875" style="18" customWidth="1"/>
    <col min="3572" max="3572" width="0" style="18" hidden="1" customWidth="1"/>
    <col min="3573" max="3574" width="6.7265625" style="18" customWidth="1"/>
    <col min="3575" max="3575" width="8.7265625" style="18" customWidth="1"/>
    <col min="3576" max="3576" width="0.81640625" style="18" customWidth="1"/>
    <col min="3577" max="3578" width="6.81640625" style="18" customWidth="1"/>
    <col min="3579" max="3579" width="8" style="18" customWidth="1"/>
    <col min="3580" max="3580" width="7.7265625" style="18" customWidth="1"/>
    <col min="3581" max="3582" width="5.7265625" style="18" customWidth="1"/>
    <col min="3583" max="3583" width="8.453125" style="18" customWidth="1"/>
    <col min="3584" max="3807" width="9.1796875" style="18"/>
    <col min="3808" max="3808" width="5" style="18" customWidth="1"/>
    <col min="3809" max="3809" width="8.1796875" style="18" customWidth="1"/>
    <col min="3810" max="3812" width="0" style="18" hidden="1" customWidth="1"/>
    <col min="3813" max="3813" width="8.1796875" style="18" customWidth="1"/>
    <col min="3814" max="3826" width="0" style="18" hidden="1" customWidth="1"/>
    <col min="3827" max="3827" width="10.54296875" style="18" customWidth="1"/>
    <col min="3828" max="3828" width="0" style="18" hidden="1" customWidth="1"/>
    <col min="3829" max="3830" width="6.7265625" style="18" customWidth="1"/>
    <col min="3831" max="3831" width="8.7265625" style="18" customWidth="1"/>
    <col min="3832" max="3832" width="0.81640625" style="18" customWidth="1"/>
    <col min="3833" max="3834" width="6.81640625" style="18" customWidth="1"/>
    <col min="3835" max="3835" width="8" style="18" customWidth="1"/>
    <col min="3836" max="3836" width="7.7265625" style="18" customWidth="1"/>
    <col min="3837" max="3838" width="5.7265625" style="18" customWidth="1"/>
    <col min="3839" max="3839" width="8.453125" style="18" customWidth="1"/>
    <col min="3840" max="4063" width="9.1796875" style="18"/>
    <col min="4064" max="4064" width="5" style="18" customWidth="1"/>
    <col min="4065" max="4065" width="8.1796875" style="18" customWidth="1"/>
    <col min="4066" max="4068" width="0" style="18" hidden="1" customWidth="1"/>
    <col min="4069" max="4069" width="8.1796875" style="18" customWidth="1"/>
    <col min="4070" max="4082" width="0" style="18" hidden="1" customWidth="1"/>
    <col min="4083" max="4083" width="10.54296875" style="18" customWidth="1"/>
    <col min="4084" max="4084" width="0" style="18" hidden="1" customWidth="1"/>
    <col min="4085" max="4086" width="6.7265625" style="18" customWidth="1"/>
    <col min="4087" max="4087" width="8.7265625" style="18" customWidth="1"/>
    <col min="4088" max="4088" width="0.81640625" style="18" customWidth="1"/>
    <col min="4089" max="4090" width="6.81640625" style="18" customWidth="1"/>
    <col min="4091" max="4091" width="8" style="18" customWidth="1"/>
    <col min="4092" max="4092" width="7.7265625" style="18" customWidth="1"/>
    <col min="4093" max="4094" width="5.7265625" style="18" customWidth="1"/>
    <col min="4095" max="4095" width="8.453125" style="18" customWidth="1"/>
    <col min="4096" max="4319" width="9.1796875" style="18"/>
    <col min="4320" max="4320" width="5" style="18" customWidth="1"/>
    <col min="4321" max="4321" width="8.1796875" style="18" customWidth="1"/>
    <col min="4322" max="4324" width="0" style="18" hidden="1" customWidth="1"/>
    <col min="4325" max="4325" width="8.1796875" style="18" customWidth="1"/>
    <col min="4326" max="4338" width="0" style="18" hidden="1" customWidth="1"/>
    <col min="4339" max="4339" width="10.54296875" style="18" customWidth="1"/>
    <col min="4340" max="4340" width="0" style="18" hidden="1" customWidth="1"/>
    <col min="4341" max="4342" width="6.7265625" style="18" customWidth="1"/>
    <col min="4343" max="4343" width="8.7265625" style="18" customWidth="1"/>
    <col min="4344" max="4344" width="0.81640625" style="18" customWidth="1"/>
    <col min="4345" max="4346" width="6.81640625" style="18" customWidth="1"/>
    <col min="4347" max="4347" width="8" style="18" customWidth="1"/>
    <col min="4348" max="4348" width="7.7265625" style="18" customWidth="1"/>
    <col min="4349" max="4350" width="5.7265625" style="18" customWidth="1"/>
    <col min="4351" max="4351" width="8.453125" style="18" customWidth="1"/>
    <col min="4352" max="4575" width="9.1796875" style="18"/>
    <col min="4576" max="4576" width="5" style="18" customWidth="1"/>
    <col min="4577" max="4577" width="8.1796875" style="18" customWidth="1"/>
    <col min="4578" max="4580" width="0" style="18" hidden="1" customWidth="1"/>
    <col min="4581" max="4581" width="8.1796875" style="18" customWidth="1"/>
    <col min="4582" max="4594" width="0" style="18" hidden="1" customWidth="1"/>
    <col min="4595" max="4595" width="10.54296875" style="18" customWidth="1"/>
    <col min="4596" max="4596" width="0" style="18" hidden="1" customWidth="1"/>
    <col min="4597" max="4598" width="6.7265625" style="18" customWidth="1"/>
    <col min="4599" max="4599" width="8.7265625" style="18" customWidth="1"/>
    <col min="4600" max="4600" width="0.81640625" style="18" customWidth="1"/>
    <col min="4601" max="4602" width="6.81640625" style="18" customWidth="1"/>
    <col min="4603" max="4603" width="8" style="18" customWidth="1"/>
    <col min="4604" max="4604" width="7.7265625" style="18" customWidth="1"/>
    <col min="4605" max="4606" width="5.7265625" style="18" customWidth="1"/>
    <col min="4607" max="4607" width="8.453125" style="18" customWidth="1"/>
    <col min="4608" max="4831" width="9.1796875" style="18"/>
    <col min="4832" max="4832" width="5" style="18" customWidth="1"/>
    <col min="4833" max="4833" width="8.1796875" style="18" customWidth="1"/>
    <col min="4834" max="4836" width="0" style="18" hidden="1" customWidth="1"/>
    <col min="4837" max="4837" width="8.1796875" style="18" customWidth="1"/>
    <col min="4838" max="4850" width="0" style="18" hidden="1" customWidth="1"/>
    <col min="4851" max="4851" width="10.54296875" style="18" customWidth="1"/>
    <col min="4852" max="4852" width="0" style="18" hidden="1" customWidth="1"/>
    <col min="4853" max="4854" width="6.7265625" style="18" customWidth="1"/>
    <col min="4855" max="4855" width="8.7265625" style="18" customWidth="1"/>
    <col min="4856" max="4856" width="0.81640625" style="18" customWidth="1"/>
    <col min="4857" max="4858" width="6.81640625" style="18" customWidth="1"/>
    <col min="4859" max="4859" width="8" style="18" customWidth="1"/>
    <col min="4860" max="4860" width="7.7265625" style="18" customWidth="1"/>
    <col min="4861" max="4862" width="5.7265625" style="18" customWidth="1"/>
    <col min="4863" max="4863" width="8.453125" style="18" customWidth="1"/>
    <col min="4864" max="5087" width="9.1796875" style="18"/>
    <col min="5088" max="5088" width="5" style="18" customWidth="1"/>
    <col min="5089" max="5089" width="8.1796875" style="18" customWidth="1"/>
    <col min="5090" max="5092" width="0" style="18" hidden="1" customWidth="1"/>
    <col min="5093" max="5093" width="8.1796875" style="18" customWidth="1"/>
    <col min="5094" max="5106" width="0" style="18" hidden="1" customWidth="1"/>
    <col min="5107" max="5107" width="10.54296875" style="18" customWidth="1"/>
    <col min="5108" max="5108" width="0" style="18" hidden="1" customWidth="1"/>
    <col min="5109" max="5110" width="6.7265625" style="18" customWidth="1"/>
    <col min="5111" max="5111" width="8.7265625" style="18" customWidth="1"/>
    <col min="5112" max="5112" width="0.81640625" style="18" customWidth="1"/>
    <col min="5113" max="5114" width="6.81640625" style="18" customWidth="1"/>
    <col min="5115" max="5115" width="8" style="18" customWidth="1"/>
    <col min="5116" max="5116" width="7.7265625" style="18" customWidth="1"/>
    <col min="5117" max="5118" width="5.7265625" style="18" customWidth="1"/>
    <col min="5119" max="5119" width="8.453125" style="18" customWidth="1"/>
    <col min="5120" max="5343" width="9.1796875" style="18"/>
    <col min="5344" max="5344" width="5" style="18" customWidth="1"/>
    <col min="5345" max="5345" width="8.1796875" style="18" customWidth="1"/>
    <col min="5346" max="5348" width="0" style="18" hidden="1" customWidth="1"/>
    <col min="5349" max="5349" width="8.1796875" style="18" customWidth="1"/>
    <col min="5350" max="5362" width="0" style="18" hidden="1" customWidth="1"/>
    <col min="5363" max="5363" width="10.54296875" style="18" customWidth="1"/>
    <col min="5364" max="5364" width="0" style="18" hidden="1" customWidth="1"/>
    <col min="5365" max="5366" width="6.7265625" style="18" customWidth="1"/>
    <col min="5367" max="5367" width="8.7265625" style="18" customWidth="1"/>
    <col min="5368" max="5368" width="0.81640625" style="18" customWidth="1"/>
    <col min="5369" max="5370" width="6.81640625" style="18" customWidth="1"/>
    <col min="5371" max="5371" width="8" style="18" customWidth="1"/>
    <col min="5372" max="5372" width="7.7265625" style="18" customWidth="1"/>
    <col min="5373" max="5374" width="5.7265625" style="18" customWidth="1"/>
    <col min="5375" max="5375" width="8.453125" style="18" customWidth="1"/>
    <col min="5376" max="5599" width="9.1796875" style="18"/>
    <col min="5600" max="5600" width="5" style="18" customWidth="1"/>
    <col min="5601" max="5601" width="8.1796875" style="18" customWidth="1"/>
    <col min="5602" max="5604" width="0" style="18" hidden="1" customWidth="1"/>
    <col min="5605" max="5605" width="8.1796875" style="18" customWidth="1"/>
    <col min="5606" max="5618" width="0" style="18" hidden="1" customWidth="1"/>
    <col min="5619" max="5619" width="10.54296875" style="18" customWidth="1"/>
    <col min="5620" max="5620" width="0" style="18" hidden="1" customWidth="1"/>
    <col min="5621" max="5622" width="6.7265625" style="18" customWidth="1"/>
    <col min="5623" max="5623" width="8.7265625" style="18" customWidth="1"/>
    <col min="5624" max="5624" width="0.81640625" style="18" customWidth="1"/>
    <col min="5625" max="5626" width="6.81640625" style="18" customWidth="1"/>
    <col min="5627" max="5627" width="8" style="18" customWidth="1"/>
    <col min="5628" max="5628" width="7.7265625" style="18" customWidth="1"/>
    <col min="5629" max="5630" width="5.7265625" style="18" customWidth="1"/>
    <col min="5631" max="5631" width="8.453125" style="18" customWidth="1"/>
    <col min="5632" max="5855" width="9.1796875" style="18"/>
    <col min="5856" max="5856" width="5" style="18" customWidth="1"/>
    <col min="5857" max="5857" width="8.1796875" style="18" customWidth="1"/>
    <col min="5858" max="5860" width="0" style="18" hidden="1" customWidth="1"/>
    <col min="5861" max="5861" width="8.1796875" style="18" customWidth="1"/>
    <col min="5862" max="5874" width="0" style="18" hidden="1" customWidth="1"/>
    <col min="5875" max="5875" width="10.54296875" style="18" customWidth="1"/>
    <col min="5876" max="5876" width="0" style="18" hidden="1" customWidth="1"/>
    <col min="5877" max="5878" width="6.7265625" style="18" customWidth="1"/>
    <col min="5879" max="5879" width="8.7265625" style="18" customWidth="1"/>
    <col min="5880" max="5880" width="0.81640625" style="18" customWidth="1"/>
    <col min="5881" max="5882" width="6.81640625" style="18" customWidth="1"/>
    <col min="5883" max="5883" width="8" style="18" customWidth="1"/>
    <col min="5884" max="5884" width="7.7265625" style="18" customWidth="1"/>
    <col min="5885" max="5886" width="5.7265625" style="18" customWidth="1"/>
    <col min="5887" max="5887" width="8.453125" style="18" customWidth="1"/>
    <col min="5888" max="6111" width="9.1796875" style="18"/>
    <col min="6112" max="6112" width="5" style="18" customWidth="1"/>
    <col min="6113" max="6113" width="8.1796875" style="18" customWidth="1"/>
    <col min="6114" max="6116" width="0" style="18" hidden="1" customWidth="1"/>
    <col min="6117" max="6117" width="8.1796875" style="18" customWidth="1"/>
    <col min="6118" max="6130" width="0" style="18" hidden="1" customWidth="1"/>
    <col min="6131" max="6131" width="10.54296875" style="18" customWidth="1"/>
    <col min="6132" max="6132" width="0" style="18" hidden="1" customWidth="1"/>
    <col min="6133" max="6134" width="6.7265625" style="18" customWidth="1"/>
    <col min="6135" max="6135" width="8.7265625" style="18" customWidth="1"/>
    <col min="6136" max="6136" width="0.81640625" style="18" customWidth="1"/>
    <col min="6137" max="6138" width="6.81640625" style="18" customWidth="1"/>
    <col min="6139" max="6139" width="8" style="18" customWidth="1"/>
    <col min="6140" max="6140" width="7.7265625" style="18" customWidth="1"/>
    <col min="6141" max="6142" width="5.7265625" style="18" customWidth="1"/>
    <col min="6143" max="6143" width="8.453125" style="18" customWidth="1"/>
    <col min="6144" max="6367" width="9.1796875" style="18"/>
    <col min="6368" max="6368" width="5" style="18" customWidth="1"/>
    <col min="6369" max="6369" width="8.1796875" style="18" customWidth="1"/>
    <col min="6370" max="6372" width="0" style="18" hidden="1" customWidth="1"/>
    <col min="6373" max="6373" width="8.1796875" style="18" customWidth="1"/>
    <col min="6374" max="6386" width="0" style="18" hidden="1" customWidth="1"/>
    <col min="6387" max="6387" width="10.54296875" style="18" customWidth="1"/>
    <col min="6388" max="6388" width="0" style="18" hidden="1" customWidth="1"/>
    <col min="6389" max="6390" width="6.7265625" style="18" customWidth="1"/>
    <col min="6391" max="6391" width="8.7265625" style="18" customWidth="1"/>
    <col min="6392" max="6392" width="0.81640625" style="18" customWidth="1"/>
    <col min="6393" max="6394" width="6.81640625" style="18" customWidth="1"/>
    <col min="6395" max="6395" width="8" style="18" customWidth="1"/>
    <col min="6396" max="6396" width="7.7265625" style="18" customWidth="1"/>
    <col min="6397" max="6398" width="5.7265625" style="18" customWidth="1"/>
    <col min="6399" max="6399" width="8.453125" style="18" customWidth="1"/>
    <col min="6400" max="6623" width="9.1796875" style="18"/>
    <col min="6624" max="6624" width="5" style="18" customWidth="1"/>
    <col min="6625" max="6625" width="8.1796875" style="18" customWidth="1"/>
    <col min="6626" max="6628" width="0" style="18" hidden="1" customWidth="1"/>
    <col min="6629" max="6629" width="8.1796875" style="18" customWidth="1"/>
    <col min="6630" max="6642" width="0" style="18" hidden="1" customWidth="1"/>
    <col min="6643" max="6643" width="10.54296875" style="18" customWidth="1"/>
    <col min="6644" max="6644" width="0" style="18" hidden="1" customWidth="1"/>
    <col min="6645" max="6646" width="6.7265625" style="18" customWidth="1"/>
    <col min="6647" max="6647" width="8.7265625" style="18" customWidth="1"/>
    <col min="6648" max="6648" width="0.81640625" style="18" customWidth="1"/>
    <col min="6649" max="6650" width="6.81640625" style="18" customWidth="1"/>
    <col min="6651" max="6651" width="8" style="18" customWidth="1"/>
    <col min="6652" max="6652" width="7.7265625" style="18" customWidth="1"/>
    <col min="6653" max="6654" width="5.7265625" style="18" customWidth="1"/>
    <col min="6655" max="6655" width="8.453125" style="18" customWidth="1"/>
    <col min="6656" max="6879" width="9.1796875" style="18"/>
    <col min="6880" max="6880" width="5" style="18" customWidth="1"/>
    <col min="6881" max="6881" width="8.1796875" style="18" customWidth="1"/>
    <col min="6882" max="6884" width="0" style="18" hidden="1" customWidth="1"/>
    <col min="6885" max="6885" width="8.1796875" style="18" customWidth="1"/>
    <col min="6886" max="6898" width="0" style="18" hidden="1" customWidth="1"/>
    <col min="6899" max="6899" width="10.54296875" style="18" customWidth="1"/>
    <col min="6900" max="6900" width="0" style="18" hidden="1" customWidth="1"/>
    <col min="6901" max="6902" width="6.7265625" style="18" customWidth="1"/>
    <col min="6903" max="6903" width="8.7265625" style="18" customWidth="1"/>
    <col min="6904" max="6904" width="0.81640625" style="18" customWidth="1"/>
    <col min="6905" max="6906" width="6.81640625" style="18" customWidth="1"/>
    <col min="6907" max="6907" width="8" style="18" customWidth="1"/>
    <col min="6908" max="6908" width="7.7265625" style="18" customWidth="1"/>
    <col min="6909" max="6910" width="5.7265625" style="18" customWidth="1"/>
    <col min="6911" max="6911" width="8.453125" style="18" customWidth="1"/>
    <col min="6912" max="7135" width="9.1796875" style="18"/>
    <col min="7136" max="7136" width="5" style="18" customWidth="1"/>
    <col min="7137" max="7137" width="8.1796875" style="18" customWidth="1"/>
    <col min="7138" max="7140" width="0" style="18" hidden="1" customWidth="1"/>
    <col min="7141" max="7141" width="8.1796875" style="18" customWidth="1"/>
    <col min="7142" max="7154" width="0" style="18" hidden="1" customWidth="1"/>
    <col min="7155" max="7155" width="10.54296875" style="18" customWidth="1"/>
    <col min="7156" max="7156" width="0" style="18" hidden="1" customWidth="1"/>
    <col min="7157" max="7158" width="6.7265625" style="18" customWidth="1"/>
    <col min="7159" max="7159" width="8.7265625" style="18" customWidth="1"/>
    <col min="7160" max="7160" width="0.81640625" style="18" customWidth="1"/>
    <col min="7161" max="7162" width="6.81640625" style="18" customWidth="1"/>
    <col min="7163" max="7163" width="8" style="18" customWidth="1"/>
    <col min="7164" max="7164" width="7.7265625" style="18" customWidth="1"/>
    <col min="7165" max="7166" width="5.7265625" style="18" customWidth="1"/>
    <col min="7167" max="7167" width="8.453125" style="18" customWidth="1"/>
    <col min="7168" max="7391" width="9.1796875" style="18"/>
    <col min="7392" max="7392" width="5" style="18" customWidth="1"/>
    <col min="7393" max="7393" width="8.1796875" style="18" customWidth="1"/>
    <col min="7394" max="7396" width="0" style="18" hidden="1" customWidth="1"/>
    <col min="7397" max="7397" width="8.1796875" style="18" customWidth="1"/>
    <col min="7398" max="7410" width="0" style="18" hidden="1" customWidth="1"/>
    <col min="7411" max="7411" width="10.54296875" style="18" customWidth="1"/>
    <col min="7412" max="7412" width="0" style="18" hidden="1" customWidth="1"/>
    <col min="7413" max="7414" width="6.7265625" style="18" customWidth="1"/>
    <col min="7415" max="7415" width="8.7265625" style="18" customWidth="1"/>
    <col min="7416" max="7416" width="0.81640625" style="18" customWidth="1"/>
    <col min="7417" max="7418" width="6.81640625" style="18" customWidth="1"/>
    <col min="7419" max="7419" width="8" style="18" customWidth="1"/>
    <col min="7420" max="7420" width="7.7265625" style="18" customWidth="1"/>
    <col min="7421" max="7422" width="5.7265625" style="18" customWidth="1"/>
    <col min="7423" max="7423" width="8.453125" style="18" customWidth="1"/>
    <col min="7424" max="7647" width="9.1796875" style="18"/>
    <col min="7648" max="7648" width="5" style="18" customWidth="1"/>
    <col min="7649" max="7649" width="8.1796875" style="18" customWidth="1"/>
    <col min="7650" max="7652" width="0" style="18" hidden="1" customWidth="1"/>
    <col min="7653" max="7653" width="8.1796875" style="18" customWidth="1"/>
    <col min="7654" max="7666" width="0" style="18" hidden="1" customWidth="1"/>
    <col min="7667" max="7667" width="10.54296875" style="18" customWidth="1"/>
    <col min="7668" max="7668" width="0" style="18" hidden="1" customWidth="1"/>
    <col min="7669" max="7670" width="6.7265625" style="18" customWidth="1"/>
    <col min="7671" max="7671" width="8.7265625" style="18" customWidth="1"/>
    <col min="7672" max="7672" width="0.81640625" style="18" customWidth="1"/>
    <col min="7673" max="7674" width="6.81640625" style="18" customWidth="1"/>
    <col min="7675" max="7675" width="8" style="18" customWidth="1"/>
    <col min="7676" max="7676" width="7.7265625" style="18" customWidth="1"/>
    <col min="7677" max="7678" width="5.7265625" style="18" customWidth="1"/>
    <col min="7679" max="7679" width="8.453125" style="18" customWidth="1"/>
    <col min="7680" max="7903" width="9.1796875" style="18"/>
    <col min="7904" max="7904" width="5" style="18" customWidth="1"/>
    <col min="7905" max="7905" width="8.1796875" style="18" customWidth="1"/>
    <col min="7906" max="7908" width="0" style="18" hidden="1" customWidth="1"/>
    <col min="7909" max="7909" width="8.1796875" style="18" customWidth="1"/>
    <col min="7910" max="7922" width="0" style="18" hidden="1" customWidth="1"/>
    <col min="7923" max="7923" width="10.54296875" style="18" customWidth="1"/>
    <col min="7924" max="7924" width="0" style="18" hidden="1" customWidth="1"/>
    <col min="7925" max="7926" width="6.7265625" style="18" customWidth="1"/>
    <col min="7927" max="7927" width="8.7265625" style="18" customWidth="1"/>
    <col min="7928" max="7928" width="0.81640625" style="18" customWidth="1"/>
    <col min="7929" max="7930" width="6.81640625" style="18" customWidth="1"/>
    <col min="7931" max="7931" width="8" style="18" customWidth="1"/>
    <col min="7932" max="7932" width="7.7265625" style="18" customWidth="1"/>
    <col min="7933" max="7934" width="5.7265625" style="18" customWidth="1"/>
    <col min="7935" max="7935" width="8.453125" style="18" customWidth="1"/>
    <col min="7936" max="8159" width="9.1796875" style="18"/>
    <col min="8160" max="8160" width="5" style="18" customWidth="1"/>
    <col min="8161" max="8161" width="8.1796875" style="18" customWidth="1"/>
    <col min="8162" max="8164" width="0" style="18" hidden="1" customWidth="1"/>
    <col min="8165" max="8165" width="8.1796875" style="18" customWidth="1"/>
    <col min="8166" max="8178" width="0" style="18" hidden="1" customWidth="1"/>
    <col min="8179" max="8179" width="10.54296875" style="18" customWidth="1"/>
    <col min="8180" max="8180" width="0" style="18" hidden="1" customWidth="1"/>
    <col min="8181" max="8182" width="6.7265625" style="18" customWidth="1"/>
    <col min="8183" max="8183" width="8.7265625" style="18" customWidth="1"/>
    <col min="8184" max="8184" width="0.81640625" style="18" customWidth="1"/>
    <col min="8185" max="8186" width="6.81640625" style="18" customWidth="1"/>
    <col min="8187" max="8187" width="8" style="18" customWidth="1"/>
    <col min="8188" max="8188" width="7.7265625" style="18" customWidth="1"/>
    <col min="8189" max="8190" width="5.7265625" style="18" customWidth="1"/>
    <col min="8191" max="8191" width="8.453125" style="18" customWidth="1"/>
    <col min="8192" max="8415" width="9.1796875" style="18"/>
    <col min="8416" max="8416" width="5" style="18" customWidth="1"/>
    <col min="8417" max="8417" width="8.1796875" style="18" customWidth="1"/>
    <col min="8418" max="8420" width="0" style="18" hidden="1" customWidth="1"/>
    <col min="8421" max="8421" width="8.1796875" style="18" customWidth="1"/>
    <col min="8422" max="8434" width="0" style="18" hidden="1" customWidth="1"/>
    <col min="8435" max="8435" width="10.54296875" style="18" customWidth="1"/>
    <col min="8436" max="8436" width="0" style="18" hidden="1" customWidth="1"/>
    <col min="8437" max="8438" width="6.7265625" style="18" customWidth="1"/>
    <col min="8439" max="8439" width="8.7265625" style="18" customWidth="1"/>
    <col min="8440" max="8440" width="0.81640625" style="18" customWidth="1"/>
    <col min="8441" max="8442" width="6.81640625" style="18" customWidth="1"/>
    <col min="8443" max="8443" width="8" style="18" customWidth="1"/>
    <col min="8444" max="8444" width="7.7265625" style="18" customWidth="1"/>
    <col min="8445" max="8446" width="5.7265625" style="18" customWidth="1"/>
    <col min="8447" max="8447" width="8.453125" style="18" customWidth="1"/>
    <col min="8448" max="8671" width="9.1796875" style="18"/>
    <col min="8672" max="8672" width="5" style="18" customWidth="1"/>
    <col min="8673" max="8673" width="8.1796875" style="18" customWidth="1"/>
    <col min="8674" max="8676" width="0" style="18" hidden="1" customWidth="1"/>
    <col min="8677" max="8677" width="8.1796875" style="18" customWidth="1"/>
    <col min="8678" max="8690" width="0" style="18" hidden="1" customWidth="1"/>
    <col min="8691" max="8691" width="10.54296875" style="18" customWidth="1"/>
    <col min="8692" max="8692" width="0" style="18" hidden="1" customWidth="1"/>
    <col min="8693" max="8694" width="6.7265625" style="18" customWidth="1"/>
    <col min="8695" max="8695" width="8.7265625" style="18" customWidth="1"/>
    <col min="8696" max="8696" width="0.81640625" style="18" customWidth="1"/>
    <col min="8697" max="8698" width="6.81640625" style="18" customWidth="1"/>
    <col min="8699" max="8699" width="8" style="18" customWidth="1"/>
    <col min="8700" max="8700" width="7.7265625" style="18" customWidth="1"/>
    <col min="8701" max="8702" width="5.7265625" style="18" customWidth="1"/>
    <col min="8703" max="8703" width="8.453125" style="18" customWidth="1"/>
    <col min="8704" max="8927" width="9.1796875" style="18"/>
    <col min="8928" max="8928" width="5" style="18" customWidth="1"/>
    <col min="8929" max="8929" width="8.1796875" style="18" customWidth="1"/>
    <col min="8930" max="8932" width="0" style="18" hidden="1" customWidth="1"/>
    <col min="8933" max="8933" width="8.1796875" style="18" customWidth="1"/>
    <col min="8934" max="8946" width="0" style="18" hidden="1" customWidth="1"/>
    <col min="8947" max="8947" width="10.54296875" style="18" customWidth="1"/>
    <col min="8948" max="8948" width="0" style="18" hidden="1" customWidth="1"/>
    <col min="8949" max="8950" width="6.7265625" style="18" customWidth="1"/>
    <col min="8951" max="8951" width="8.7265625" style="18" customWidth="1"/>
    <col min="8952" max="8952" width="0.81640625" style="18" customWidth="1"/>
    <col min="8953" max="8954" width="6.81640625" style="18" customWidth="1"/>
    <col min="8955" max="8955" width="8" style="18" customWidth="1"/>
    <col min="8956" max="8956" width="7.7265625" style="18" customWidth="1"/>
    <col min="8957" max="8958" width="5.7265625" style="18" customWidth="1"/>
    <col min="8959" max="8959" width="8.453125" style="18" customWidth="1"/>
    <col min="8960" max="9183" width="9.1796875" style="18"/>
    <col min="9184" max="9184" width="5" style="18" customWidth="1"/>
    <col min="9185" max="9185" width="8.1796875" style="18" customWidth="1"/>
    <col min="9186" max="9188" width="0" style="18" hidden="1" customWidth="1"/>
    <col min="9189" max="9189" width="8.1796875" style="18" customWidth="1"/>
    <col min="9190" max="9202" width="0" style="18" hidden="1" customWidth="1"/>
    <col min="9203" max="9203" width="10.54296875" style="18" customWidth="1"/>
    <col min="9204" max="9204" width="0" style="18" hidden="1" customWidth="1"/>
    <col min="9205" max="9206" width="6.7265625" style="18" customWidth="1"/>
    <col min="9207" max="9207" width="8.7265625" style="18" customWidth="1"/>
    <col min="9208" max="9208" width="0.81640625" style="18" customWidth="1"/>
    <col min="9209" max="9210" width="6.81640625" style="18" customWidth="1"/>
    <col min="9211" max="9211" width="8" style="18" customWidth="1"/>
    <col min="9212" max="9212" width="7.7265625" style="18" customWidth="1"/>
    <col min="9213" max="9214" width="5.7265625" style="18" customWidth="1"/>
    <col min="9215" max="9215" width="8.453125" style="18" customWidth="1"/>
    <col min="9216" max="9439" width="9.1796875" style="18"/>
    <col min="9440" max="9440" width="5" style="18" customWidth="1"/>
    <col min="9441" max="9441" width="8.1796875" style="18" customWidth="1"/>
    <col min="9442" max="9444" width="0" style="18" hidden="1" customWidth="1"/>
    <col min="9445" max="9445" width="8.1796875" style="18" customWidth="1"/>
    <col min="9446" max="9458" width="0" style="18" hidden="1" customWidth="1"/>
    <col min="9459" max="9459" width="10.54296875" style="18" customWidth="1"/>
    <col min="9460" max="9460" width="0" style="18" hidden="1" customWidth="1"/>
    <col min="9461" max="9462" width="6.7265625" style="18" customWidth="1"/>
    <col min="9463" max="9463" width="8.7265625" style="18" customWidth="1"/>
    <col min="9464" max="9464" width="0.81640625" style="18" customWidth="1"/>
    <col min="9465" max="9466" width="6.81640625" style="18" customWidth="1"/>
    <col min="9467" max="9467" width="8" style="18" customWidth="1"/>
    <col min="9468" max="9468" width="7.7265625" style="18" customWidth="1"/>
    <col min="9469" max="9470" width="5.7265625" style="18" customWidth="1"/>
    <col min="9471" max="9471" width="8.453125" style="18" customWidth="1"/>
    <col min="9472" max="9695" width="9.1796875" style="18"/>
    <col min="9696" max="9696" width="5" style="18" customWidth="1"/>
    <col min="9697" max="9697" width="8.1796875" style="18" customWidth="1"/>
    <col min="9698" max="9700" width="0" style="18" hidden="1" customWidth="1"/>
    <col min="9701" max="9701" width="8.1796875" style="18" customWidth="1"/>
    <col min="9702" max="9714" width="0" style="18" hidden="1" customWidth="1"/>
    <col min="9715" max="9715" width="10.54296875" style="18" customWidth="1"/>
    <col min="9716" max="9716" width="0" style="18" hidden="1" customWidth="1"/>
    <col min="9717" max="9718" width="6.7265625" style="18" customWidth="1"/>
    <col min="9719" max="9719" width="8.7265625" style="18" customWidth="1"/>
    <col min="9720" max="9720" width="0.81640625" style="18" customWidth="1"/>
    <col min="9721" max="9722" width="6.81640625" style="18" customWidth="1"/>
    <col min="9723" max="9723" width="8" style="18" customWidth="1"/>
    <col min="9724" max="9724" width="7.7265625" style="18" customWidth="1"/>
    <col min="9725" max="9726" width="5.7265625" style="18" customWidth="1"/>
    <col min="9727" max="9727" width="8.453125" style="18" customWidth="1"/>
    <col min="9728" max="9951" width="9.1796875" style="18"/>
    <col min="9952" max="9952" width="5" style="18" customWidth="1"/>
    <col min="9953" max="9953" width="8.1796875" style="18" customWidth="1"/>
    <col min="9954" max="9956" width="0" style="18" hidden="1" customWidth="1"/>
    <col min="9957" max="9957" width="8.1796875" style="18" customWidth="1"/>
    <col min="9958" max="9970" width="0" style="18" hidden="1" customWidth="1"/>
    <col min="9971" max="9971" width="10.54296875" style="18" customWidth="1"/>
    <col min="9972" max="9972" width="0" style="18" hidden="1" customWidth="1"/>
    <col min="9973" max="9974" width="6.7265625" style="18" customWidth="1"/>
    <col min="9975" max="9975" width="8.7265625" style="18" customWidth="1"/>
    <col min="9976" max="9976" width="0.81640625" style="18" customWidth="1"/>
    <col min="9977" max="9978" width="6.81640625" style="18" customWidth="1"/>
    <col min="9979" max="9979" width="8" style="18" customWidth="1"/>
    <col min="9980" max="9980" width="7.7265625" style="18" customWidth="1"/>
    <col min="9981" max="9982" width="5.7265625" style="18" customWidth="1"/>
    <col min="9983" max="9983" width="8.453125" style="18" customWidth="1"/>
    <col min="9984" max="10207" width="9.1796875" style="18"/>
    <col min="10208" max="10208" width="5" style="18" customWidth="1"/>
    <col min="10209" max="10209" width="8.1796875" style="18" customWidth="1"/>
    <col min="10210" max="10212" width="0" style="18" hidden="1" customWidth="1"/>
    <col min="10213" max="10213" width="8.1796875" style="18" customWidth="1"/>
    <col min="10214" max="10226" width="0" style="18" hidden="1" customWidth="1"/>
    <col min="10227" max="10227" width="10.54296875" style="18" customWidth="1"/>
    <col min="10228" max="10228" width="0" style="18" hidden="1" customWidth="1"/>
    <col min="10229" max="10230" width="6.7265625" style="18" customWidth="1"/>
    <col min="10231" max="10231" width="8.7265625" style="18" customWidth="1"/>
    <col min="10232" max="10232" width="0.81640625" style="18" customWidth="1"/>
    <col min="10233" max="10234" width="6.81640625" style="18" customWidth="1"/>
    <col min="10235" max="10235" width="8" style="18" customWidth="1"/>
    <col min="10236" max="10236" width="7.7265625" style="18" customWidth="1"/>
    <col min="10237" max="10238" width="5.7265625" style="18" customWidth="1"/>
    <col min="10239" max="10239" width="8.453125" style="18" customWidth="1"/>
    <col min="10240" max="10463" width="9.1796875" style="18"/>
    <col min="10464" max="10464" width="5" style="18" customWidth="1"/>
    <col min="10465" max="10465" width="8.1796875" style="18" customWidth="1"/>
    <col min="10466" max="10468" width="0" style="18" hidden="1" customWidth="1"/>
    <col min="10469" max="10469" width="8.1796875" style="18" customWidth="1"/>
    <col min="10470" max="10482" width="0" style="18" hidden="1" customWidth="1"/>
    <col min="10483" max="10483" width="10.54296875" style="18" customWidth="1"/>
    <col min="10484" max="10484" width="0" style="18" hidden="1" customWidth="1"/>
    <col min="10485" max="10486" width="6.7265625" style="18" customWidth="1"/>
    <col min="10487" max="10487" width="8.7265625" style="18" customWidth="1"/>
    <col min="10488" max="10488" width="0.81640625" style="18" customWidth="1"/>
    <col min="10489" max="10490" width="6.81640625" style="18" customWidth="1"/>
    <col min="10491" max="10491" width="8" style="18" customWidth="1"/>
    <col min="10492" max="10492" width="7.7265625" style="18" customWidth="1"/>
    <col min="10493" max="10494" width="5.7265625" style="18" customWidth="1"/>
    <col min="10495" max="10495" width="8.453125" style="18" customWidth="1"/>
    <col min="10496" max="10719" width="9.1796875" style="18"/>
    <col min="10720" max="10720" width="5" style="18" customWidth="1"/>
    <col min="10721" max="10721" width="8.1796875" style="18" customWidth="1"/>
    <col min="10722" max="10724" width="0" style="18" hidden="1" customWidth="1"/>
    <col min="10725" max="10725" width="8.1796875" style="18" customWidth="1"/>
    <col min="10726" max="10738" width="0" style="18" hidden="1" customWidth="1"/>
    <col min="10739" max="10739" width="10.54296875" style="18" customWidth="1"/>
    <col min="10740" max="10740" width="0" style="18" hidden="1" customWidth="1"/>
    <col min="10741" max="10742" width="6.7265625" style="18" customWidth="1"/>
    <col min="10743" max="10743" width="8.7265625" style="18" customWidth="1"/>
    <col min="10744" max="10744" width="0.81640625" style="18" customWidth="1"/>
    <col min="10745" max="10746" width="6.81640625" style="18" customWidth="1"/>
    <col min="10747" max="10747" width="8" style="18" customWidth="1"/>
    <col min="10748" max="10748" width="7.7265625" style="18" customWidth="1"/>
    <col min="10749" max="10750" width="5.7265625" style="18" customWidth="1"/>
    <col min="10751" max="10751" width="8.453125" style="18" customWidth="1"/>
    <col min="10752" max="10975" width="9.1796875" style="18"/>
    <col min="10976" max="10976" width="5" style="18" customWidth="1"/>
    <col min="10977" max="10977" width="8.1796875" style="18" customWidth="1"/>
    <col min="10978" max="10980" width="0" style="18" hidden="1" customWidth="1"/>
    <col min="10981" max="10981" width="8.1796875" style="18" customWidth="1"/>
    <col min="10982" max="10994" width="0" style="18" hidden="1" customWidth="1"/>
    <col min="10995" max="10995" width="10.54296875" style="18" customWidth="1"/>
    <col min="10996" max="10996" width="0" style="18" hidden="1" customWidth="1"/>
    <col min="10997" max="10998" width="6.7265625" style="18" customWidth="1"/>
    <col min="10999" max="10999" width="8.7265625" style="18" customWidth="1"/>
    <col min="11000" max="11000" width="0.81640625" style="18" customWidth="1"/>
    <col min="11001" max="11002" width="6.81640625" style="18" customWidth="1"/>
    <col min="11003" max="11003" width="8" style="18" customWidth="1"/>
    <col min="11004" max="11004" width="7.7265625" style="18" customWidth="1"/>
    <col min="11005" max="11006" width="5.7265625" style="18" customWidth="1"/>
    <col min="11007" max="11007" width="8.453125" style="18" customWidth="1"/>
    <col min="11008" max="11231" width="9.1796875" style="18"/>
    <col min="11232" max="11232" width="5" style="18" customWidth="1"/>
    <col min="11233" max="11233" width="8.1796875" style="18" customWidth="1"/>
    <col min="11234" max="11236" width="0" style="18" hidden="1" customWidth="1"/>
    <col min="11237" max="11237" width="8.1796875" style="18" customWidth="1"/>
    <col min="11238" max="11250" width="0" style="18" hidden="1" customWidth="1"/>
    <col min="11251" max="11251" width="10.54296875" style="18" customWidth="1"/>
    <col min="11252" max="11252" width="0" style="18" hidden="1" customWidth="1"/>
    <col min="11253" max="11254" width="6.7265625" style="18" customWidth="1"/>
    <col min="11255" max="11255" width="8.7265625" style="18" customWidth="1"/>
    <col min="11256" max="11256" width="0.81640625" style="18" customWidth="1"/>
    <col min="11257" max="11258" width="6.81640625" style="18" customWidth="1"/>
    <col min="11259" max="11259" width="8" style="18" customWidth="1"/>
    <col min="11260" max="11260" width="7.7265625" style="18" customWidth="1"/>
    <col min="11261" max="11262" width="5.7265625" style="18" customWidth="1"/>
    <col min="11263" max="11263" width="8.453125" style="18" customWidth="1"/>
    <col min="11264" max="11487" width="9.1796875" style="18"/>
    <col min="11488" max="11488" width="5" style="18" customWidth="1"/>
    <col min="11489" max="11489" width="8.1796875" style="18" customWidth="1"/>
    <col min="11490" max="11492" width="0" style="18" hidden="1" customWidth="1"/>
    <col min="11493" max="11493" width="8.1796875" style="18" customWidth="1"/>
    <col min="11494" max="11506" width="0" style="18" hidden="1" customWidth="1"/>
    <col min="11507" max="11507" width="10.54296875" style="18" customWidth="1"/>
    <col min="11508" max="11508" width="0" style="18" hidden="1" customWidth="1"/>
    <col min="11509" max="11510" width="6.7265625" style="18" customWidth="1"/>
    <col min="11511" max="11511" width="8.7265625" style="18" customWidth="1"/>
    <col min="11512" max="11512" width="0.81640625" style="18" customWidth="1"/>
    <col min="11513" max="11514" width="6.81640625" style="18" customWidth="1"/>
    <col min="11515" max="11515" width="8" style="18" customWidth="1"/>
    <col min="11516" max="11516" width="7.7265625" style="18" customWidth="1"/>
    <col min="11517" max="11518" width="5.7265625" style="18" customWidth="1"/>
    <col min="11519" max="11519" width="8.453125" style="18" customWidth="1"/>
    <col min="11520" max="11743" width="9.1796875" style="18"/>
    <col min="11744" max="11744" width="5" style="18" customWidth="1"/>
    <col min="11745" max="11745" width="8.1796875" style="18" customWidth="1"/>
    <col min="11746" max="11748" width="0" style="18" hidden="1" customWidth="1"/>
    <col min="11749" max="11749" width="8.1796875" style="18" customWidth="1"/>
    <col min="11750" max="11762" width="0" style="18" hidden="1" customWidth="1"/>
    <col min="11763" max="11763" width="10.54296875" style="18" customWidth="1"/>
    <col min="11764" max="11764" width="0" style="18" hidden="1" customWidth="1"/>
    <col min="11765" max="11766" width="6.7265625" style="18" customWidth="1"/>
    <col min="11767" max="11767" width="8.7265625" style="18" customWidth="1"/>
    <col min="11768" max="11768" width="0.81640625" style="18" customWidth="1"/>
    <col min="11769" max="11770" width="6.81640625" style="18" customWidth="1"/>
    <col min="11771" max="11771" width="8" style="18" customWidth="1"/>
    <col min="11772" max="11772" width="7.7265625" style="18" customWidth="1"/>
    <col min="11773" max="11774" width="5.7265625" style="18" customWidth="1"/>
    <col min="11775" max="11775" width="8.453125" style="18" customWidth="1"/>
    <col min="11776" max="11999" width="9.1796875" style="18"/>
    <col min="12000" max="12000" width="5" style="18" customWidth="1"/>
    <col min="12001" max="12001" width="8.1796875" style="18" customWidth="1"/>
    <col min="12002" max="12004" width="0" style="18" hidden="1" customWidth="1"/>
    <col min="12005" max="12005" width="8.1796875" style="18" customWidth="1"/>
    <col min="12006" max="12018" width="0" style="18" hidden="1" customWidth="1"/>
    <col min="12019" max="12019" width="10.54296875" style="18" customWidth="1"/>
    <col min="12020" max="12020" width="0" style="18" hidden="1" customWidth="1"/>
    <col min="12021" max="12022" width="6.7265625" style="18" customWidth="1"/>
    <col min="12023" max="12023" width="8.7265625" style="18" customWidth="1"/>
    <col min="12024" max="12024" width="0.81640625" style="18" customWidth="1"/>
    <col min="12025" max="12026" width="6.81640625" style="18" customWidth="1"/>
    <col min="12027" max="12027" width="8" style="18" customWidth="1"/>
    <col min="12028" max="12028" width="7.7265625" style="18" customWidth="1"/>
    <col min="12029" max="12030" width="5.7265625" style="18" customWidth="1"/>
    <col min="12031" max="12031" width="8.453125" style="18" customWidth="1"/>
    <col min="12032" max="12255" width="9.1796875" style="18"/>
    <col min="12256" max="12256" width="5" style="18" customWidth="1"/>
    <col min="12257" max="12257" width="8.1796875" style="18" customWidth="1"/>
    <col min="12258" max="12260" width="0" style="18" hidden="1" customWidth="1"/>
    <col min="12261" max="12261" width="8.1796875" style="18" customWidth="1"/>
    <col min="12262" max="12274" width="0" style="18" hidden="1" customWidth="1"/>
    <col min="12275" max="12275" width="10.54296875" style="18" customWidth="1"/>
    <col min="12276" max="12276" width="0" style="18" hidden="1" customWidth="1"/>
    <col min="12277" max="12278" width="6.7265625" style="18" customWidth="1"/>
    <col min="12279" max="12279" width="8.7265625" style="18" customWidth="1"/>
    <col min="12280" max="12280" width="0.81640625" style="18" customWidth="1"/>
    <col min="12281" max="12282" width="6.81640625" style="18" customWidth="1"/>
    <col min="12283" max="12283" width="8" style="18" customWidth="1"/>
    <col min="12284" max="12284" width="7.7265625" style="18" customWidth="1"/>
    <col min="12285" max="12286" width="5.7265625" style="18" customWidth="1"/>
    <col min="12287" max="12287" width="8.453125" style="18" customWidth="1"/>
    <col min="12288" max="12511" width="9.1796875" style="18"/>
    <col min="12512" max="12512" width="5" style="18" customWidth="1"/>
    <col min="12513" max="12513" width="8.1796875" style="18" customWidth="1"/>
    <col min="12514" max="12516" width="0" style="18" hidden="1" customWidth="1"/>
    <col min="12517" max="12517" width="8.1796875" style="18" customWidth="1"/>
    <col min="12518" max="12530" width="0" style="18" hidden="1" customWidth="1"/>
    <col min="12531" max="12531" width="10.54296875" style="18" customWidth="1"/>
    <col min="12532" max="12532" width="0" style="18" hidden="1" customWidth="1"/>
    <col min="12533" max="12534" width="6.7265625" style="18" customWidth="1"/>
    <col min="12535" max="12535" width="8.7265625" style="18" customWidth="1"/>
    <col min="12536" max="12536" width="0.81640625" style="18" customWidth="1"/>
    <col min="12537" max="12538" width="6.81640625" style="18" customWidth="1"/>
    <col min="12539" max="12539" width="8" style="18" customWidth="1"/>
    <col min="12540" max="12540" width="7.7265625" style="18" customWidth="1"/>
    <col min="12541" max="12542" width="5.7265625" style="18" customWidth="1"/>
    <col min="12543" max="12543" width="8.453125" style="18" customWidth="1"/>
    <col min="12544" max="12767" width="9.1796875" style="18"/>
    <col min="12768" max="12768" width="5" style="18" customWidth="1"/>
    <col min="12769" max="12769" width="8.1796875" style="18" customWidth="1"/>
    <col min="12770" max="12772" width="0" style="18" hidden="1" customWidth="1"/>
    <col min="12773" max="12773" width="8.1796875" style="18" customWidth="1"/>
    <col min="12774" max="12786" width="0" style="18" hidden="1" customWidth="1"/>
    <col min="12787" max="12787" width="10.54296875" style="18" customWidth="1"/>
    <col min="12788" max="12788" width="0" style="18" hidden="1" customWidth="1"/>
    <col min="12789" max="12790" width="6.7265625" style="18" customWidth="1"/>
    <col min="12791" max="12791" width="8.7265625" style="18" customWidth="1"/>
    <col min="12792" max="12792" width="0.81640625" style="18" customWidth="1"/>
    <col min="12793" max="12794" width="6.81640625" style="18" customWidth="1"/>
    <col min="12795" max="12795" width="8" style="18" customWidth="1"/>
    <col min="12796" max="12796" width="7.7265625" style="18" customWidth="1"/>
    <col min="12797" max="12798" width="5.7265625" style="18" customWidth="1"/>
    <col min="12799" max="12799" width="8.453125" style="18" customWidth="1"/>
    <col min="12800" max="13023" width="9.1796875" style="18"/>
    <col min="13024" max="13024" width="5" style="18" customWidth="1"/>
    <col min="13025" max="13025" width="8.1796875" style="18" customWidth="1"/>
    <col min="13026" max="13028" width="0" style="18" hidden="1" customWidth="1"/>
    <col min="13029" max="13029" width="8.1796875" style="18" customWidth="1"/>
    <col min="13030" max="13042" width="0" style="18" hidden="1" customWidth="1"/>
    <col min="13043" max="13043" width="10.54296875" style="18" customWidth="1"/>
    <col min="13044" max="13044" width="0" style="18" hidden="1" customWidth="1"/>
    <col min="13045" max="13046" width="6.7265625" style="18" customWidth="1"/>
    <col min="13047" max="13047" width="8.7265625" style="18" customWidth="1"/>
    <col min="13048" max="13048" width="0.81640625" style="18" customWidth="1"/>
    <col min="13049" max="13050" width="6.81640625" style="18" customWidth="1"/>
    <col min="13051" max="13051" width="8" style="18" customWidth="1"/>
    <col min="13052" max="13052" width="7.7265625" style="18" customWidth="1"/>
    <col min="13053" max="13054" width="5.7265625" style="18" customWidth="1"/>
    <col min="13055" max="13055" width="8.453125" style="18" customWidth="1"/>
    <col min="13056" max="13279" width="9.1796875" style="18"/>
    <col min="13280" max="13280" width="5" style="18" customWidth="1"/>
    <col min="13281" max="13281" width="8.1796875" style="18" customWidth="1"/>
    <col min="13282" max="13284" width="0" style="18" hidden="1" customWidth="1"/>
    <col min="13285" max="13285" width="8.1796875" style="18" customWidth="1"/>
    <col min="13286" max="13298" width="0" style="18" hidden="1" customWidth="1"/>
    <col min="13299" max="13299" width="10.54296875" style="18" customWidth="1"/>
    <col min="13300" max="13300" width="0" style="18" hidden="1" customWidth="1"/>
    <col min="13301" max="13302" width="6.7265625" style="18" customWidth="1"/>
    <col min="13303" max="13303" width="8.7265625" style="18" customWidth="1"/>
    <col min="13304" max="13304" width="0.81640625" style="18" customWidth="1"/>
    <col min="13305" max="13306" width="6.81640625" style="18" customWidth="1"/>
    <col min="13307" max="13307" width="8" style="18" customWidth="1"/>
    <col min="13308" max="13308" width="7.7265625" style="18" customWidth="1"/>
    <col min="13309" max="13310" width="5.7265625" style="18" customWidth="1"/>
    <col min="13311" max="13311" width="8.453125" style="18" customWidth="1"/>
    <col min="13312" max="13535" width="9.1796875" style="18"/>
    <col min="13536" max="13536" width="5" style="18" customWidth="1"/>
    <col min="13537" max="13537" width="8.1796875" style="18" customWidth="1"/>
    <col min="13538" max="13540" width="0" style="18" hidden="1" customWidth="1"/>
    <col min="13541" max="13541" width="8.1796875" style="18" customWidth="1"/>
    <col min="13542" max="13554" width="0" style="18" hidden="1" customWidth="1"/>
    <col min="13555" max="13555" width="10.54296875" style="18" customWidth="1"/>
    <col min="13556" max="13556" width="0" style="18" hidden="1" customWidth="1"/>
    <col min="13557" max="13558" width="6.7265625" style="18" customWidth="1"/>
    <col min="13559" max="13559" width="8.7265625" style="18" customWidth="1"/>
    <col min="13560" max="13560" width="0.81640625" style="18" customWidth="1"/>
    <col min="13561" max="13562" width="6.81640625" style="18" customWidth="1"/>
    <col min="13563" max="13563" width="8" style="18" customWidth="1"/>
    <col min="13564" max="13564" width="7.7265625" style="18" customWidth="1"/>
    <col min="13565" max="13566" width="5.7265625" style="18" customWidth="1"/>
    <col min="13567" max="13567" width="8.453125" style="18" customWidth="1"/>
    <col min="13568" max="13791" width="9.1796875" style="18"/>
    <col min="13792" max="13792" width="5" style="18" customWidth="1"/>
    <col min="13793" max="13793" width="8.1796875" style="18" customWidth="1"/>
    <col min="13794" max="13796" width="0" style="18" hidden="1" customWidth="1"/>
    <col min="13797" max="13797" width="8.1796875" style="18" customWidth="1"/>
    <col min="13798" max="13810" width="0" style="18" hidden="1" customWidth="1"/>
    <col min="13811" max="13811" width="10.54296875" style="18" customWidth="1"/>
    <col min="13812" max="13812" width="0" style="18" hidden="1" customWidth="1"/>
    <col min="13813" max="13814" width="6.7265625" style="18" customWidth="1"/>
    <col min="13815" max="13815" width="8.7265625" style="18" customWidth="1"/>
    <col min="13816" max="13816" width="0.81640625" style="18" customWidth="1"/>
    <col min="13817" max="13818" width="6.81640625" style="18" customWidth="1"/>
    <col min="13819" max="13819" width="8" style="18" customWidth="1"/>
    <col min="13820" max="13820" width="7.7265625" style="18" customWidth="1"/>
    <col min="13821" max="13822" width="5.7265625" style="18" customWidth="1"/>
    <col min="13823" max="13823" width="8.453125" style="18" customWidth="1"/>
    <col min="13824" max="14047" width="9.1796875" style="18"/>
    <col min="14048" max="14048" width="5" style="18" customWidth="1"/>
    <col min="14049" max="14049" width="8.1796875" style="18" customWidth="1"/>
    <col min="14050" max="14052" width="0" style="18" hidden="1" customWidth="1"/>
    <col min="14053" max="14053" width="8.1796875" style="18" customWidth="1"/>
    <col min="14054" max="14066" width="0" style="18" hidden="1" customWidth="1"/>
    <col min="14067" max="14067" width="10.54296875" style="18" customWidth="1"/>
    <col min="14068" max="14068" width="0" style="18" hidden="1" customWidth="1"/>
    <col min="14069" max="14070" width="6.7265625" style="18" customWidth="1"/>
    <col min="14071" max="14071" width="8.7265625" style="18" customWidth="1"/>
    <col min="14072" max="14072" width="0.81640625" style="18" customWidth="1"/>
    <col min="14073" max="14074" width="6.81640625" style="18" customWidth="1"/>
    <col min="14075" max="14075" width="8" style="18" customWidth="1"/>
    <col min="14076" max="14076" width="7.7265625" style="18" customWidth="1"/>
    <col min="14077" max="14078" width="5.7265625" style="18" customWidth="1"/>
    <col min="14079" max="14079" width="8.453125" style="18" customWidth="1"/>
    <col min="14080" max="14303" width="9.1796875" style="18"/>
    <col min="14304" max="14304" width="5" style="18" customWidth="1"/>
    <col min="14305" max="14305" width="8.1796875" style="18" customWidth="1"/>
    <col min="14306" max="14308" width="0" style="18" hidden="1" customWidth="1"/>
    <col min="14309" max="14309" width="8.1796875" style="18" customWidth="1"/>
    <col min="14310" max="14322" width="0" style="18" hidden="1" customWidth="1"/>
    <col min="14323" max="14323" width="10.54296875" style="18" customWidth="1"/>
    <col min="14324" max="14324" width="0" style="18" hidden="1" customWidth="1"/>
    <col min="14325" max="14326" width="6.7265625" style="18" customWidth="1"/>
    <col min="14327" max="14327" width="8.7265625" style="18" customWidth="1"/>
    <col min="14328" max="14328" width="0.81640625" style="18" customWidth="1"/>
    <col min="14329" max="14330" width="6.81640625" style="18" customWidth="1"/>
    <col min="14331" max="14331" width="8" style="18" customWidth="1"/>
    <col min="14332" max="14332" width="7.7265625" style="18" customWidth="1"/>
    <col min="14333" max="14334" width="5.7265625" style="18" customWidth="1"/>
    <col min="14335" max="14335" width="8.453125" style="18" customWidth="1"/>
    <col min="14336" max="14559" width="9.1796875" style="18"/>
    <col min="14560" max="14560" width="5" style="18" customWidth="1"/>
    <col min="14561" max="14561" width="8.1796875" style="18" customWidth="1"/>
    <col min="14562" max="14564" width="0" style="18" hidden="1" customWidth="1"/>
    <col min="14565" max="14565" width="8.1796875" style="18" customWidth="1"/>
    <col min="14566" max="14578" width="0" style="18" hidden="1" customWidth="1"/>
    <col min="14579" max="14579" width="10.54296875" style="18" customWidth="1"/>
    <col min="14580" max="14580" width="0" style="18" hidden="1" customWidth="1"/>
    <col min="14581" max="14582" width="6.7265625" style="18" customWidth="1"/>
    <col min="14583" max="14583" width="8.7265625" style="18" customWidth="1"/>
    <col min="14584" max="14584" width="0.81640625" style="18" customWidth="1"/>
    <col min="14585" max="14586" width="6.81640625" style="18" customWidth="1"/>
    <col min="14587" max="14587" width="8" style="18" customWidth="1"/>
    <col min="14588" max="14588" width="7.7265625" style="18" customWidth="1"/>
    <col min="14589" max="14590" width="5.7265625" style="18" customWidth="1"/>
    <col min="14591" max="14591" width="8.453125" style="18" customWidth="1"/>
    <col min="14592" max="14815" width="9.1796875" style="18"/>
    <col min="14816" max="14816" width="5" style="18" customWidth="1"/>
    <col min="14817" max="14817" width="8.1796875" style="18" customWidth="1"/>
    <col min="14818" max="14820" width="0" style="18" hidden="1" customWidth="1"/>
    <col min="14821" max="14821" width="8.1796875" style="18" customWidth="1"/>
    <col min="14822" max="14834" width="0" style="18" hidden="1" customWidth="1"/>
    <col min="14835" max="14835" width="10.54296875" style="18" customWidth="1"/>
    <col min="14836" max="14836" width="0" style="18" hidden="1" customWidth="1"/>
    <col min="14837" max="14838" width="6.7265625" style="18" customWidth="1"/>
    <col min="14839" max="14839" width="8.7265625" style="18" customWidth="1"/>
    <col min="14840" max="14840" width="0.81640625" style="18" customWidth="1"/>
    <col min="14841" max="14842" width="6.81640625" style="18" customWidth="1"/>
    <col min="14843" max="14843" width="8" style="18" customWidth="1"/>
    <col min="14844" max="14844" width="7.7265625" style="18" customWidth="1"/>
    <col min="14845" max="14846" width="5.7265625" style="18" customWidth="1"/>
    <col min="14847" max="14847" width="8.453125" style="18" customWidth="1"/>
    <col min="14848" max="15071" width="9.1796875" style="18"/>
    <col min="15072" max="15072" width="5" style="18" customWidth="1"/>
    <col min="15073" max="15073" width="8.1796875" style="18" customWidth="1"/>
    <col min="15074" max="15076" width="0" style="18" hidden="1" customWidth="1"/>
    <col min="15077" max="15077" width="8.1796875" style="18" customWidth="1"/>
    <col min="15078" max="15090" width="0" style="18" hidden="1" customWidth="1"/>
    <col min="15091" max="15091" width="10.54296875" style="18" customWidth="1"/>
    <col min="15092" max="15092" width="0" style="18" hidden="1" customWidth="1"/>
    <col min="15093" max="15094" width="6.7265625" style="18" customWidth="1"/>
    <col min="15095" max="15095" width="8.7265625" style="18" customWidth="1"/>
    <col min="15096" max="15096" width="0.81640625" style="18" customWidth="1"/>
    <col min="15097" max="15098" width="6.81640625" style="18" customWidth="1"/>
    <col min="15099" max="15099" width="8" style="18" customWidth="1"/>
    <col min="15100" max="15100" width="7.7265625" style="18" customWidth="1"/>
    <col min="15101" max="15102" width="5.7265625" style="18" customWidth="1"/>
    <col min="15103" max="15103" width="8.453125" style="18" customWidth="1"/>
    <col min="15104" max="15327" width="9.1796875" style="18"/>
    <col min="15328" max="15328" width="5" style="18" customWidth="1"/>
    <col min="15329" max="15329" width="8.1796875" style="18" customWidth="1"/>
    <col min="15330" max="15332" width="0" style="18" hidden="1" customWidth="1"/>
    <col min="15333" max="15333" width="8.1796875" style="18" customWidth="1"/>
    <col min="15334" max="15346" width="0" style="18" hidden="1" customWidth="1"/>
    <col min="15347" max="15347" width="10.54296875" style="18" customWidth="1"/>
    <col min="15348" max="15348" width="0" style="18" hidden="1" customWidth="1"/>
    <col min="15349" max="15350" width="6.7265625" style="18" customWidth="1"/>
    <col min="15351" max="15351" width="8.7265625" style="18" customWidth="1"/>
    <col min="15352" max="15352" width="0.81640625" style="18" customWidth="1"/>
    <col min="15353" max="15354" width="6.81640625" style="18" customWidth="1"/>
    <col min="15355" max="15355" width="8" style="18" customWidth="1"/>
    <col min="15356" max="15356" width="7.7265625" style="18" customWidth="1"/>
    <col min="15357" max="15358" width="5.7265625" style="18" customWidth="1"/>
    <col min="15359" max="15359" width="8.453125" style="18" customWidth="1"/>
    <col min="15360" max="15583" width="9.1796875" style="18"/>
    <col min="15584" max="15584" width="5" style="18" customWidth="1"/>
    <col min="15585" max="15585" width="8.1796875" style="18" customWidth="1"/>
    <col min="15586" max="15588" width="0" style="18" hidden="1" customWidth="1"/>
    <col min="15589" max="15589" width="8.1796875" style="18" customWidth="1"/>
    <col min="15590" max="15602" width="0" style="18" hidden="1" customWidth="1"/>
    <col min="15603" max="15603" width="10.54296875" style="18" customWidth="1"/>
    <col min="15604" max="15604" width="0" style="18" hidden="1" customWidth="1"/>
    <col min="15605" max="15606" width="6.7265625" style="18" customWidth="1"/>
    <col min="15607" max="15607" width="8.7265625" style="18" customWidth="1"/>
    <col min="15608" max="15608" width="0.81640625" style="18" customWidth="1"/>
    <col min="15609" max="15610" width="6.81640625" style="18" customWidth="1"/>
    <col min="15611" max="15611" width="8" style="18" customWidth="1"/>
    <col min="15612" max="15612" width="7.7265625" style="18" customWidth="1"/>
    <col min="15613" max="15614" width="5.7265625" style="18" customWidth="1"/>
    <col min="15615" max="15615" width="8.453125" style="18" customWidth="1"/>
    <col min="15616" max="15839" width="9.1796875" style="18"/>
    <col min="15840" max="15840" width="5" style="18" customWidth="1"/>
    <col min="15841" max="15841" width="8.1796875" style="18" customWidth="1"/>
    <col min="15842" max="15844" width="0" style="18" hidden="1" customWidth="1"/>
    <col min="15845" max="15845" width="8.1796875" style="18" customWidth="1"/>
    <col min="15846" max="15858" width="0" style="18" hidden="1" customWidth="1"/>
    <col min="15859" max="15859" width="10.54296875" style="18" customWidth="1"/>
    <col min="15860" max="15860" width="0" style="18" hidden="1" customWidth="1"/>
    <col min="15861" max="15862" width="6.7265625" style="18" customWidth="1"/>
    <col min="15863" max="15863" width="8.7265625" style="18" customWidth="1"/>
    <col min="15864" max="15864" width="0.81640625" style="18" customWidth="1"/>
    <col min="15865" max="15866" width="6.81640625" style="18" customWidth="1"/>
    <col min="15867" max="15867" width="8" style="18" customWidth="1"/>
    <col min="15868" max="15868" width="7.7265625" style="18" customWidth="1"/>
    <col min="15869" max="15870" width="5.7265625" style="18" customWidth="1"/>
    <col min="15871" max="15871" width="8.453125" style="18" customWidth="1"/>
    <col min="15872" max="16095" width="9.1796875" style="18"/>
    <col min="16096" max="16096" width="5" style="18" customWidth="1"/>
    <col min="16097" max="16097" width="8.1796875" style="18" customWidth="1"/>
    <col min="16098" max="16100" width="0" style="18" hidden="1" customWidth="1"/>
    <col min="16101" max="16101" width="8.1796875" style="18" customWidth="1"/>
    <col min="16102" max="16114" width="0" style="18" hidden="1" customWidth="1"/>
    <col min="16115" max="16115" width="10.54296875" style="18" customWidth="1"/>
    <col min="16116" max="16116" width="0" style="18" hidden="1" customWidth="1"/>
    <col min="16117" max="16118" width="6.7265625" style="18" customWidth="1"/>
    <col min="16119" max="16119" width="8.7265625" style="18" customWidth="1"/>
    <col min="16120" max="16120" width="0.81640625" style="18" customWidth="1"/>
    <col min="16121" max="16122" width="6.81640625" style="18" customWidth="1"/>
    <col min="16123" max="16123" width="8" style="18" customWidth="1"/>
    <col min="16124" max="16124" width="7.7265625" style="18" customWidth="1"/>
    <col min="16125" max="16126" width="5.7265625" style="18" customWidth="1"/>
    <col min="16127" max="16127" width="8.453125" style="18" customWidth="1"/>
    <col min="16128" max="16379" width="9.1796875" style="18"/>
    <col min="16380" max="16384" width="9.1796875" style="18" customWidth="1"/>
  </cols>
  <sheetData>
    <row r="1" spans="1:6" x14ac:dyDescent="0.2">
      <c r="A1" s="206" t="s">
        <v>309</v>
      </c>
    </row>
    <row r="3" spans="1:6" x14ac:dyDescent="0.2">
      <c r="B3" s="207" t="s">
        <v>279</v>
      </c>
      <c r="C3" s="208">
        <v>2.33E-3</v>
      </c>
    </row>
    <row r="4" spans="1:6" x14ac:dyDescent="0.2">
      <c r="B4" s="18" t="s">
        <v>297</v>
      </c>
      <c r="C4" s="43" t="s">
        <v>298</v>
      </c>
    </row>
    <row r="5" spans="1:6" x14ac:dyDescent="0.2">
      <c r="B5" s="36" t="s">
        <v>301</v>
      </c>
      <c r="C5" s="32">
        <v>0.99661200000000005</v>
      </c>
    </row>
    <row r="6" spans="1:6" x14ac:dyDescent="0.2">
      <c r="B6" s="36" t="s">
        <v>302</v>
      </c>
      <c r="C6" s="32">
        <v>0.989209</v>
      </c>
      <c r="D6" s="46" t="s">
        <v>310</v>
      </c>
    </row>
    <row r="7" spans="1:6" x14ac:dyDescent="0.2">
      <c r="B7" s="18" t="s">
        <v>300</v>
      </c>
      <c r="C7" s="204">
        <f>C5/(C5-C6)</f>
        <v>134.62272051870775</v>
      </c>
      <c r="D7" s="83" t="s">
        <v>305</v>
      </c>
    </row>
    <row r="8" spans="1:6" ht="12" customHeight="1" x14ac:dyDescent="0.2">
      <c r="C8" s="204"/>
      <c r="D8" s="83"/>
    </row>
    <row r="9" spans="1:6" ht="12" customHeight="1" x14ac:dyDescent="0.2">
      <c r="B9" s="179" t="s">
        <v>283</v>
      </c>
      <c r="C9" s="203">
        <f>B_(0,2)</f>
        <v>1.9411822138583761</v>
      </c>
      <c r="D9" s="83" t="s">
        <v>295</v>
      </c>
      <c r="F9" s="205"/>
    </row>
    <row r="10" spans="1:6" x14ac:dyDescent="0.2">
      <c r="B10" s="180" t="s">
        <v>304</v>
      </c>
      <c r="C10" s="203">
        <f>0.5*C3^2*C9</f>
        <v>5.2692420604078684E-6</v>
      </c>
      <c r="D10" s="83" t="s">
        <v>306</v>
      </c>
      <c r="F10" s="205"/>
    </row>
    <row r="11" spans="1:6" x14ac:dyDescent="0.2">
      <c r="B11" s="18" t="s">
        <v>284</v>
      </c>
      <c r="C11" s="203">
        <f>B_(1,3)^2</f>
        <v>3.7681883874001061</v>
      </c>
      <c r="D11" s="83" t="s">
        <v>296</v>
      </c>
      <c r="F11" s="205"/>
    </row>
    <row r="12" spans="1:6" ht="12" customHeight="1" x14ac:dyDescent="0.2">
      <c r="B12" s="18" t="s">
        <v>303</v>
      </c>
      <c r="C12" s="203">
        <f>(C10*C11)^0.5</f>
        <v>4.4559507114003338E-3</v>
      </c>
      <c r="D12" s="83" t="s">
        <v>307</v>
      </c>
      <c r="F12" s="205"/>
    </row>
    <row r="13" spans="1:6" x14ac:dyDescent="0.2">
      <c r="B13" s="189" t="s">
        <v>299</v>
      </c>
      <c r="C13" s="209">
        <f>C7*C12</f>
        <v>0.59987220726598411</v>
      </c>
      <c r="D13" s="210" t="s">
        <v>308</v>
      </c>
    </row>
  </sheetData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8"/>
  <dimension ref="A1:P23"/>
  <sheetViews>
    <sheetView zoomScaleNormal="100" workbookViewId="0"/>
  </sheetViews>
  <sheetFormatPr defaultColWidth="9.1796875" defaultRowHeight="14" x14ac:dyDescent="0.2"/>
  <cols>
    <col min="1" max="1" width="2.7265625" style="212" customWidth="1"/>
    <col min="2" max="2" width="7.7265625" style="212" customWidth="1"/>
    <col min="3" max="3" width="2.1796875" style="212" customWidth="1"/>
    <col min="4" max="4" width="7.7265625" style="212" customWidth="1"/>
    <col min="5" max="5" width="2.1796875" style="212" customWidth="1"/>
    <col min="6" max="6" width="7.7265625" style="212" customWidth="1"/>
    <col min="7" max="7" width="2.1796875" style="212" customWidth="1"/>
    <col min="8" max="8" width="7.7265625" style="212" customWidth="1"/>
    <col min="9" max="9" width="16.81640625" style="212" customWidth="1"/>
    <col min="10" max="10" width="7.7265625" style="212" customWidth="1"/>
    <col min="11" max="11" width="2.1796875" style="212" customWidth="1"/>
    <col min="12" max="12" width="7.7265625" style="212" customWidth="1"/>
    <col min="13" max="13" width="2.1796875" style="212" customWidth="1"/>
    <col min="14" max="14" width="7.7265625" style="212" customWidth="1"/>
    <col min="15" max="15" width="2.1796875" style="212" customWidth="1"/>
    <col min="16" max="16" width="7.7265625" style="212" customWidth="1"/>
    <col min="17" max="17" width="14.54296875" style="212" bestFit="1" customWidth="1"/>
    <col min="18" max="16384" width="9.1796875" style="212"/>
  </cols>
  <sheetData>
    <row r="1" spans="1:16" x14ac:dyDescent="0.2">
      <c r="C1" s="243" t="s">
        <v>377</v>
      </c>
      <c r="D1" s="239">
        <v>1</v>
      </c>
      <c r="I1" s="240" t="s">
        <v>376</v>
      </c>
      <c r="K1" s="242"/>
      <c r="L1" s="241"/>
      <c r="M1" s="240" t="s">
        <v>375</v>
      </c>
    </row>
    <row r="2" spans="1:16" x14ac:dyDescent="0.2">
      <c r="C2" s="237" t="s">
        <v>374</v>
      </c>
      <c r="D2" s="239">
        <v>3</v>
      </c>
      <c r="G2" s="237" t="s">
        <v>373</v>
      </c>
      <c r="H2" s="236">
        <f>EXP(5%*D3)</f>
        <v>1.0168063303862609</v>
      </c>
      <c r="I2" s="238" t="s">
        <v>372</v>
      </c>
      <c r="K2" s="237" t="s">
        <v>371</v>
      </c>
      <c r="L2" s="236">
        <f>(H2-H4)/(H3-H4)</f>
        <v>0.54377659636103215</v>
      </c>
      <c r="M2" s="238" t="s">
        <v>370</v>
      </c>
    </row>
    <row r="3" spans="1:16" x14ac:dyDescent="0.2">
      <c r="C3" s="237" t="s">
        <v>369</v>
      </c>
      <c r="D3" s="236">
        <f>D1/D2</f>
        <v>0.33333333333333331</v>
      </c>
      <c r="G3" s="237" t="s">
        <v>368</v>
      </c>
      <c r="H3" s="236">
        <f>EXP(20%*D4)</f>
        <v>1.1224009024456676</v>
      </c>
      <c r="I3" s="223" t="s">
        <v>367</v>
      </c>
      <c r="K3" s="237" t="s">
        <v>366</v>
      </c>
      <c r="L3" s="236">
        <f>1-L2</f>
        <v>0.45622340363896785</v>
      </c>
      <c r="M3" s="223" t="s">
        <v>365</v>
      </c>
    </row>
    <row r="4" spans="1:16" x14ac:dyDescent="0.2">
      <c r="C4" s="237" t="s">
        <v>364</v>
      </c>
      <c r="D4" s="236">
        <f>SQRT(D3)</f>
        <v>0.57735026918962573</v>
      </c>
      <c r="G4" s="237" t="s">
        <v>363</v>
      </c>
      <c r="H4" s="236">
        <f>1/H3</f>
        <v>0.89094725228841065</v>
      </c>
      <c r="I4" s="223" t="s">
        <v>362</v>
      </c>
      <c r="J4" s="235" t="s">
        <v>361</v>
      </c>
    </row>
    <row r="5" spans="1:16" ht="6.75" customHeight="1" x14ac:dyDescent="0.2"/>
    <row r="6" spans="1:16" ht="15" customHeight="1" x14ac:dyDescent="0.35">
      <c r="B6" s="379" t="s">
        <v>360</v>
      </c>
      <c r="C6" s="379"/>
      <c r="D6" s="379"/>
      <c r="E6" s="379"/>
      <c r="F6" s="379"/>
      <c r="G6" s="379"/>
      <c r="H6" s="379"/>
      <c r="J6" s="379" t="s">
        <v>359</v>
      </c>
      <c r="K6" s="379"/>
      <c r="L6" s="379"/>
      <c r="M6" s="379"/>
      <c r="N6" s="379"/>
      <c r="O6" s="379"/>
      <c r="P6" s="379"/>
    </row>
    <row r="7" spans="1:16" ht="6.75" customHeight="1" thickBot="1" x14ac:dyDescent="0.4">
      <c r="B7" s="227"/>
    </row>
    <row r="8" spans="1:16" x14ac:dyDescent="0.3">
      <c r="A8" s="234" t="s">
        <v>358</v>
      </c>
      <c r="H8" s="224">
        <f>F10*$H$3</f>
        <v>141.39824580805166</v>
      </c>
      <c r="I8" s="223" t="s">
        <v>357</v>
      </c>
      <c r="P8" s="224">
        <f>N10*$H$3</f>
        <v>141.39824580805166</v>
      </c>
    </row>
    <row r="9" spans="1:16" ht="14.5" thickBot="1" x14ac:dyDescent="0.25">
      <c r="A9" s="233" t="s">
        <v>356</v>
      </c>
      <c r="H9" s="217">
        <f>MAX(100-H8,0)</f>
        <v>0</v>
      </c>
      <c r="I9" s="223" t="s">
        <v>355</v>
      </c>
      <c r="P9" s="217">
        <f>MAX(100-P8,0)</f>
        <v>0</v>
      </c>
    </row>
    <row r="10" spans="1:16" x14ac:dyDescent="0.2">
      <c r="B10" s="222"/>
      <c r="C10" s="222"/>
      <c r="D10" s="222"/>
      <c r="E10" s="222"/>
      <c r="F10" s="224">
        <f>D12*$H$3</f>
        <v>125.9783785810849</v>
      </c>
      <c r="G10" s="222"/>
      <c r="H10" s="222"/>
      <c r="I10" s="223"/>
      <c r="J10" s="222"/>
      <c r="K10" s="222"/>
      <c r="L10" s="222"/>
      <c r="M10" s="222"/>
      <c r="N10" s="224">
        <f>L12*$H$3</f>
        <v>125.9783785810849</v>
      </c>
      <c r="O10" s="222"/>
      <c r="P10" s="222"/>
    </row>
    <row r="11" spans="1:16" ht="14.5" thickBot="1" x14ac:dyDescent="0.25">
      <c r="B11" s="222"/>
      <c r="C11" s="222"/>
      <c r="D11" s="222"/>
      <c r="E11" s="222"/>
      <c r="F11" s="217">
        <f>(H9*$L$2+H13*$L$3)/$H$2</f>
        <v>0</v>
      </c>
      <c r="G11" s="222"/>
      <c r="H11" s="222"/>
      <c r="I11" s="223"/>
      <c r="J11" s="222"/>
      <c r="K11" s="222"/>
      <c r="L11" s="222"/>
      <c r="M11" s="222"/>
      <c r="N11" s="217">
        <f>(P9*$L$2+P13*$L$3)/$H$2</f>
        <v>0</v>
      </c>
      <c r="O11" s="222"/>
      <c r="P11" s="222"/>
    </row>
    <row r="12" spans="1:16" x14ac:dyDescent="0.2">
      <c r="B12" s="222"/>
      <c r="C12" s="222"/>
      <c r="D12" s="224">
        <f>B14*$H$3</f>
        <v>112.24009024456676</v>
      </c>
      <c r="E12" s="222"/>
      <c r="F12" s="222"/>
      <c r="G12" s="222"/>
      <c r="H12" s="224">
        <f>F10*$H$4</f>
        <v>112.24009024456676</v>
      </c>
      <c r="I12" s="223" t="s">
        <v>354</v>
      </c>
      <c r="J12" s="222"/>
      <c r="K12" s="222"/>
      <c r="L12" s="224">
        <f>J14*$H$3</f>
        <v>112.24009024456676</v>
      </c>
      <c r="M12" s="222"/>
      <c r="N12" s="222"/>
      <c r="O12" s="222"/>
      <c r="P12" s="224">
        <f>N10*$H$4</f>
        <v>112.24009024456676</v>
      </c>
    </row>
    <row r="13" spans="1:16" ht="14.5" thickBot="1" x14ac:dyDescent="0.25">
      <c r="B13" s="222"/>
      <c r="C13" s="222"/>
      <c r="D13" s="217">
        <f>(F11*$L$2+F15*$L$3)/$H$2</f>
        <v>2.1954080399637572</v>
      </c>
      <c r="E13" s="222"/>
      <c r="F13" s="222"/>
      <c r="G13" s="222"/>
      <c r="H13" s="217">
        <f>MAX(100-H12,0)</f>
        <v>0</v>
      </c>
      <c r="I13" s="223" t="s">
        <v>353</v>
      </c>
      <c r="J13" s="222"/>
      <c r="K13" s="222"/>
      <c r="L13" s="217">
        <f>(N11*$L$2+N15*$L$3)/$H$2</f>
        <v>2.1954080399637572</v>
      </c>
      <c r="M13" s="222"/>
      <c r="N13" s="222"/>
      <c r="O13" s="222"/>
      <c r="P13" s="217">
        <f>MAX(100-P12,0)</f>
        <v>0</v>
      </c>
    </row>
    <row r="14" spans="1:16" x14ac:dyDescent="0.2">
      <c r="A14" s="215"/>
      <c r="B14" s="224">
        <v>100</v>
      </c>
      <c r="C14" s="222"/>
      <c r="D14" s="222"/>
      <c r="E14" s="222"/>
      <c r="F14" s="224">
        <f>D12*$H$4</f>
        <v>100</v>
      </c>
      <c r="G14" s="222"/>
      <c r="H14" s="222"/>
      <c r="I14" s="223"/>
      <c r="J14" s="224">
        <v>100</v>
      </c>
      <c r="K14" s="222"/>
      <c r="L14" s="222"/>
      <c r="M14" s="222"/>
      <c r="N14" s="224">
        <f>L12*$H$4</f>
        <v>100</v>
      </c>
      <c r="O14" s="222"/>
      <c r="P14" s="222"/>
    </row>
    <row r="15" spans="1:16" ht="14.5" thickBot="1" x14ac:dyDescent="0.25">
      <c r="A15" s="215"/>
      <c r="B15" s="217">
        <f>(D13*$L$2+D17*$L$3)/$H$2</f>
        <v>6.166813542022533</v>
      </c>
      <c r="C15" s="222"/>
      <c r="D15" s="222"/>
      <c r="E15" s="222"/>
      <c r="F15" s="217">
        <f>(H13*$L$2+H17*$L$3)/$H$2</f>
        <v>4.8930080636165147</v>
      </c>
      <c r="G15" s="222"/>
      <c r="H15" s="222"/>
      <c r="I15" s="223"/>
      <c r="J15" s="217">
        <f>(L13*$L$2+L17*$L$3)/$H$2</f>
        <v>6.4995598866162574</v>
      </c>
      <c r="K15" s="222"/>
      <c r="L15" s="222"/>
      <c r="M15" s="222"/>
      <c r="N15" s="217">
        <f>(P13*$L$2+P17*$L$3)/$H$2</f>
        <v>4.8930080636165147</v>
      </c>
      <c r="O15" s="222"/>
      <c r="P15" s="222"/>
    </row>
    <row r="16" spans="1:16" x14ac:dyDescent="0.2">
      <c r="B16" s="222"/>
      <c r="C16" s="222"/>
      <c r="D16" s="224">
        <f>B14*$H$4</f>
        <v>89.094725228841071</v>
      </c>
      <c r="E16" s="222"/>
      <c r="F16" s="222"/>
      <c r="G16" s="222"/>
      <c r="H16" s="224">
        <f>F14*$H$4</f>
        <v>89.094725228841071</v>
      </c>
      <c r="I16" s="223" t="s">
        <v>352</v>
      </c>
      <c r="J16" s="222"/>
      <c r="K16" s="222"/>
      <c r="L16" s="224">
        <f>J14*$H$4</f>
        <v>89.094725228841071</v>
      </c>
      <c r="M16" s="222"/>
      <c r="N16" s="222"/>
      <c r="O16" s="222"/>
      <c r="P16" s="224">
        <f>N14*$H$4</f>
        <v>89.094725228841071</v>
      </c>
    </row>
    <row r="17" spans="2:16" ht="14.5" thickBot="1" x14ac:dyDescent="0.35">
      <c r="B17" s="222"/>
      <c r="C17" s="232" t="s">
        <v>351</v>
      </c>
      <c r="D17" s="217">
        <f>(F15*$L$2+F19*$L$3)/$H$2</f>
        <v>11.127538604447601</v>
      </c>
      <c r="E17" s="222"/>
      <c r="F17" s="222"/>
      <c r="G17" s="222"/>
      <c r="H17" s="217">
        <f>MAX(100-H16,0)</f>
        <v>10.905274771158929</v>
      </c>
      <c r="I17" s="223" t="s">
        <v>350</v>
      </c>
      <c r="J17" s="222"/>
      <c r="K17" s="222"/>
      <c r="L17" s="217">
        <f>(N15*$L$2+N19*$L$3)/$H$2</f>
        <v>11.869145867242763</v>
      </c>
      <c r="M17" s="222"/>
      <c r="N17" s="222"/>
      <c r="O17" s="222"/>
      <c r="P17" s="217">
        <f>MAX(100-P16,0)</f>
        <v>10.905274771158929</v>
      </c>
    </row>
    <row r="18" spans="2:16" x14ac:dyDescent="0.2">
      <c r="B18" s="231" t="s">
        <v>349</v>
      </c>
      <c r="D18" s="222"/>
      <c r="E18" s="222"/>
      <c r="F18" s="224">
        <f>D16*$H$4</f>
        <v>79.378700636026892</v>
      </c>
      <c r="G18" s="222"/>
      <c r="H18" s="222"/>
      <c r="I18" s="223"/>
      <c r="J18" s="222"/>
      <c r="K18" s="222"/>
      <c r="L18" s="222"/>
      <c r="M18" s="222"/>
      <c r="N18" s="224">
        <f>L16*$H$4</f>
        <v>79.378700636026892</v>
      </c>
      <c r="O18" s="222"/>
      <c r="P18" s="222"/>
    </row>
    <row r="19" spans="2:16" ht="14.5" thickBot="1" x14ac:dyDescent="0.25">
      <c r="B19" s="222"/>
      <c r="C19" s="222"/>
      <c r="D19" s="222"/>
      <c r="E19" s="230" t="s">
        <v>348</v>
      </c>
      <c r="F19" s="228">
        <f>(H17*$L$2+H21*$L$3)/$H$2</f>
        <v>18.968444746134864</v>
      </c>
      <c r="G19" s="222"/>
      <c r="H19" s="222"/>
      <c r="I19" s="223"/>
      <c r="J19" s="222"/>
      <c r="K19" s="222"/>
      <c r="L19" s="222"/>
      <c r="M19" s="229" t="s">
        <v>347</v>
      </c>
      <c r="N19" s="228">
        <f>MAX(N20,N21)</f>
        <v>20.621299363973108</v>
      </c>
      <c r="O19" s="222"/>
      <c r="P19" s="222"/>
    </row>
    <row r="20" spans="2:16" x14ac:dyDescent="0.35">
      <c r="B20" s="222"/>
      <c r="C20" s="222"/>
      <c r="F20" s="219" t="s">
        <v>343</v>
      </c>
      <c r="G20" s="218"/>
      <c r="H20" s="224">
        <f>F18*$H$4</f>
        <v>70.722235221892475</v>
      </c>
      <c r="I20" s="223" t="s">
        <v>346</v>
      </c>
      <c r="J20" s="222"/>
      <c r="K20" s="222"/>
      <c r="L20" s="227"/>
      <c r="M20" s="226" t="s">
        <v>345</v>
      </c>
      <c r="N20" s="225">
        <f>100-N18</f>
        <v>20.621299363973108</v>
      </c>
      <c r="O20" s="218"/>
      <c r="P20" s="224">
        <f>N18*$H$4</f>
        <v>70.722235221892475</v>
      </c>
    </row>
    <row r="21" spans="2:16" ht="14.5" thickBot="1" x14ac:dyDescent="0.25">
      <c r="B21" s="222"/>
      <c r="C21" s="222"/>
      <c r="G21" s="218"/>
      <c r="H21" s="217">
        <f>MAX(100-H20,0)</f>
        <v>29.277764778107525</v>
      </c>
      <c r="I21" s="223" t="s">
        <v>344</v>
      </c>
      <c r="J21" s="222"/>
      <c r="K21" s="222"/>
      <c r="L21" s="221"/>
      <c r="M21" s="220" t="s">
        <v>343</v>
      </c>
      <c r="N21" s="219">
        <f>(P17*$L$2+P21*$L$3)/$H$2</f>
        <v>18.968444746134864</v>
      </c>
      <c r="O21" s="218"/>
      <c r="P21" s="217">
        <f>MAX(100-P20,0)</f>
        <v>29.277764778107525</v>
      </c>
    </row>
    <row r="22" spans="2:16" x14ac:dyDescent="0.2">
      <c r="B22" s="216" t="s">
        <v>342</v>
      </c>
      <c r="C22" s="214"/>
      <c r="D22" s="214" t="s">
        <v>341</v>
      </c>
      <c r="E22" s="214"/>
      <c r="F22" s="214" t="s">
        <v>340</v>
      </c>
      <c r="G22" s="214"/>
      <c r="H22" s="214" t="s">
        <v>339</v>
      </c>
      <c r="I22" s="215"/>
      <c r="J22" s="214" t="s">
        <v>342</v>
      </c>
      <c r="K22" s="214"/>
      <c r="L22" s="214" t="s">
        <v>341</v>
      </c>
      <c r="M22" s="214"/>
      <c r="N22" s="214" t="s">
        <v>340</v>
      </c>
      <c r="O22" s="214"/>
      <c r="P22" s="214" t="s">
        <v>339</v>
      </c>
    </row>
    <row r="23" spans="2:16" x14ac:dyDescent="0.2">
      <c r="P23" s="213" t="s">
        <v>338</v>
      </c>
    </row>
  </sheetData>
  <mergeCells count="2">
    <mergeCell ref="B6:H6"/>
    <mergeCell ref="J6:P6"/>
  </mergeCells>
  <phoneticPr fontId="3"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"/>
  <dimension ref="A1:L27"/>
  <sheetViews>
    <sheetView zoomScaleNormal="100" workbookViewId="0"/>
  </sheetViews>
  <sheetFormatPr defaultRowHeight="12.5" x14ac:dyDescent="0.25"/>
  <cols>
    <col min="1" max="1" width="3.26953125" style="244" customWidth="1"/>
    <col min="2" max="8" width="9.26953125" style="244" customWidth="1"/>
    <col min="9" max="9" width="2.54296875" style="244" customWidth="1"/>
    <col min="10" max="12" width="8.26953125" style="244" customWidth="1"/>
    <col min="13" max="13" width="2.453125" style="244" customWidth="1"/>
    <col min="14" max="14" width="9.54296875" style="244" customWidth="1"/>
    <col min="15" max="18" width="9" style="244" customWidth="1"/>
    <col min="19" max="19" width="6.26953125" style="244" customWidth="1"/>
    <col min="20" max="20" width="9" style="244" customWidth="1"/>
    <col min="21" max="27" width="12.54296875" style="244" bestFit="1" customWidth="1"/>
    <col min="28" max="28" width="9.1796875" style="244"/>
    <col min="29" max="30" width="9.7265625" style="244" bestFit="1" customWidth="1"/>
    <col min="31" max="31" width="13" style="244" bestFit="1" customWidth="1"/>
    <col min="32" max="249" width="9.1796875" style="244"/>
    <col min="250" max="250" width="3.26953125" style="244" customWidth="1"/>
    <col min="251" max="256" width="11" style="244" customWidth="1"/>
    <col min="257" max="257" width="2.453125" style="244" customWidth="1"/>
    <col min="258" max="258" width="4.81640625" style="244" customWidth="1"/>
    <col min="259" max="261" width="11" style="244" customWidth="1"/>
    <col min="262" max="262" width="2.453125" style="244" customWidth="1"/>
    <col min="263" max="263" width="9.54296875" style="244" customWidth="1"/>
    <col min="264" max="267" width="9" style="244" customWidth="1"/>
    <col min="268" max="268" width="6.26953125" style="244" customWidth="1"/>
    <col min="269" max="269" width="9" style="244" customWidth="1"/>
    <col min="270" max="270" width="4.26953125" style="244" customWidth="1"/>
    <col min="271" max="271" width="9.1796875" style="244"/>
    <col min="272" max="272" width="5.54296875" style="244" customWidth="1"/>
    <col min="273" max="275" width="9.1796875" style="244"/>
    <col min="276" max="276" width="9.81640625" style="244" bestFit="1" customWidth="1"/>
    <col min="277" max="283" width="12.54296875" style="244" bestFit="1" customWidth="1"/>
    <col min="284" max="284" width="9.1796875" style="244"/>
    <col min="285" max="286" width="9.7265625" style="244" bestFit="1" customWidth="1"/>
    <col min="287" max="287" width="13" style="244" bestFit="1" customWidth="1"/>
    <col min="288" max="505" width="9.1796875" style="244"/>
    <col min="506" max="506" width="3.26953125" style="244" customWidth="1"/>
    <col min="507" max="512" width="11" style="244" customWidth="1"/>
    <col min="513" max="513" width="2.453125" style="244" customWidth="1"/>
    <col min="514" max="514" width="4.81640625" style="244" customWidth="1"/>
    <col min="515" max="517" width="11" style="244" customWidth="1"/>
    <col min="518" max="518" width="2.453125" style="244" customWidth="1"/>
    <col min="519" max="519" width="9.54296875" style="244" customWidth="1"/>
    <col min="520" max="523" width="9" style="244" customWidth="1"/>
    <col min="524" max="524" width="6.26953125" style="244" customWidth="1"/>
    <col min="525" max="525" width="9" style="244" customWidth="1"/>
    <col min="526" max="526" width="4.26953125" style="244" customWidth="1"/>
    <col min="527" max="527" width="9.1796875" style="244"/>
    <col min="528" max="528" width="5.54296875" style="244" customWidth="1"/>
    <col min="529" max="531" width="9.1796875" style="244"/>
    <col min="532" max="532" width="9.81640625" style="244" bestFit="1" customWidth="1"/>
    <col min="533" max="539" width="12.54296875" style="244" bestFit="1" customWidth="1"/>
    <col min="540" max="540" width="9.1796875" style="244"/>
    <col min="541" max="542" width="9.7265625" style="244" bestFit="1" customWidth="1"/>
    <col min="543" max="543" width="13" style="244" bestFit="1" customWidth="1"/>
    <col min="544" max="761" width="9.1796875" style="244"/>
    <col min="762" max="762" width="3.26953125" style="244" customWidth="1"/>
    <col min="763" max="768" width="11" style="244" customWidth="1"/>
    <col min="769" max="769" width="2.453125" style="244" customWidth="1"/>
    <col min="770" max="770" width="4.81640625" style="244" customWidth="1"/>
    <col min="771" max="773" width="11" style="244" customWidth="1"/>
    <col min="774" max="774" width="2.453125" style="244" customWidth="1"/>
    <col min="775" max="775" width="9.54296875" style="244" customWidth="1"/>
    <col min="776" max="779" width="9" style="244" customWidth="1"/>
    <col min="780" max="780" width="6.26953125" style="244" customWidth="1"/>
    <col min="781" max="781" width="9" style="244" customWidth="1"/>
    <col min="782" max="782" width="4.26953125" style="244" customWidth="1"/>
    <col min="783" max="783" width="9.1796875" style="244"/>
    <col min="784" max="784" width="5.54296875" style="244" customWidth="1"/>
    <col min="785" max="787" width="9.1796875" style="244"/>
    <col min="788" max="788" width="9.81640625" style="244" bestFit="1" customWidth="1"/>
    <col min="789" max="795" width="12.54296875" style="244" bestFit="1" customWidth="1"/>
    <col min="796" max="796" width="9.1796875" style="244"/>
    <col min="797" max="798" width="9.7265625" style="244" bestFit="1" customWidth="1"/>
    <col min="799" max="799" width="13" style="244" bestFit="1" customWidth="1"/>
    <col min="800" max="1017" width="9.1796875" style="244"/>
    <col min="1018" max="1018" width="3.26953125" style="244" customWidth="1"/>
    <col min="1019" max="1024" width="11" style="244" customWidth="1"/>
    <col min="1025" max="1025" width="2.453125" style="244" customWidth="1"/>
    <col min="1026" max="1026" width="4.81640625" style="244" customWidth="1"/>
    <col min="1027" max="1029" width="11" style="244" customWidth="1"/>
    <col min="1030" max="1030" width="2.453125" style="244" customWidth="1"/>
    <col min="1031" max="1031" width="9.54296875" style="244" customWidth="1"/>
    <col min="1032" max="1035" width="9" style="244" customWidth="1"/>
    <col min="1036" max="1036" width="6.26953125" style="244" customWidth="1"/>
    <col min="1037" max="1037" width="9" style="244" customWidth="1"/>
    <col min="1038" max="1038" width="4.26953125" style="244" customWidth="1"/>
    <col min="1039" max="1039" width="9.1796875" style="244"/>
    <col min="1040" max="1040" width="5.54296875" style="244" customWidth="1"/>
    <col min="1041" max="1043" width="9.1796875" style="244"/>
    <col min="1044" max="1044" width="9.81640625" style="244" bestFit="1" customWidth="1"/>
    <col min="1045" max="1051" width="12.54296875" style="244" bestFit="1" customWidth="1"/>
    <col min="1052" max="1052" width="9.1796875" style="244"/>
    <col min="1053" max="1054" width="9.7265625" style="244" bestFit="1" customWidth="1"/>
    <col min="1055" max="1055" width="13" style="244" bestFit="1" customWidth="1"/>
    <col min="1056" max="1273" width="9.1796875" style="244"/>
    <col min="1274" max="1274" width="3.26953125" style="244" customWidth="1"/>
    <col min="1275" max="1280" width="11" style="244" customWidth="1"/>
    <col min="1281" max="1281" width="2.453125" style="244" customWidth="1"/>
    <col min="1282" max="1282" width="4.81640625" style="244" customWidth="1"/>
    <col min="1283" max="1285" width="11" style="244" customWidth="1"/>
    <col min="1286" max="1286" width="2.453125" style="244" customWidth="1"/>
    <col min="1287" max="1287" width="9.54296875" style="244" customWidth="1"/>
    <col min="1288" max="1291" width="9" style="244" customWidth="1"/>
    <col min="1292" max="1292" width="6.26953125" style="244" customWidth="1"/>
    <col min="1293" max="1293" width="9" style="244" customWidth="1"/>
    <col min="1294" max="1294" width="4.26953125" style="244" customWidth="1"/>
    <col min="1295" max="1295" width="9.1796875" style="244"/>
    <col min="1296" max="1296" width="5.54296875" style="244" customWidth="1"/>
    <col min="1297" max="1299" width="9.1796875" style="244"/>
    <col min="1300" max="1300" width="9.81640625" style="244" bestFit="1" customWidth="1"/>
    <col min="1301" max="1307" width="12.54296875" style="244" bestFit="1" customWidth="1"/>
    <col min="1308" max="1308" width="9.1796875" style="244"/>
    <col min="1309" max="1310" width="9.7265625" style="244" bestFit="1" customWidth="1"/>
    <col min="1311" max="1311" width="13" style="244" bestFit="1" customWidth="1"/>
    <col min="1312" max="1529" width="9.1796875" style="244"/>
    <col min="1530" max="1530" width="3.26953125" style="244" customWidth="1"/>
    <col min="1531" max="1536" width="11" style="244" customWidth="1"/>
    <col min="1537" max="1537" width="2.453125" style="244" customWidth="1"/>
    <col min="1538" max="1538" width="4.81640625" style="244" customWidth="1"/>
    <col min="1539" max="1541" width="11" style="244" customWidth="1"/>
    <col min="1542" max="1542" width="2.453125" style="244" customWidth="1"/>
    <col min="1543" max="1543" width="9.54296875" style="244" customWidth="1"/>
    <col min="1544" max="1547" width="9" style="244" customWidth="1"/>
    <col min="1548" max="1548" width="6.26953125" style="244" customWidth="1"/>
    <col min="1549" max="1549" width="9" style="244" customWidth="1"/>
    <col min="1550" max="1550" width="4.26953125" style="244" customWidth="1"/>
    <col min="1551" max="1551" width="9.1796875" style="244"/>
    <col min="1552" max="1552" width="5.54296875" style="244" customWidth="1"/>
    <col min="1553" max="1555" width="9.1796875" style="244"/>
    <col min="1556" max="1556" width="9.81640625" style="244" bestFit="1" customWidth="1"/>
    <col min="1557" max="1563" width="12.54296875" style="244" bestFit="1" customWidth="1"/>
    <col min="1564" max="1564" width="9.1796875" style="244"/>
    <col min="1565" max="1566" width="9.7265625" style="244" bestFit="1" customWidth="1"/>
    <col min="1567" max="1567" width="13" style="244" bestFit="1" customWidth="1"/>
    <col min="1568" max="1785" width="9.1796875" style="244"/>
    <col min="1786" max="1786" width="3.26953125" style="244" customWidth="1"/>
    <col min="1787" max="1792" width="11" style="244" customWidth="1"/>
    <col min="1793" max="1793" width="2.453125" style="244" customWidth="1"/>
    <col min="1794" max="1794" width="4.81640625" style="244" customWidth="1"/>
    <col min="1795" max="1797" width="11" style="244" customWidth="1"/>
    <col min="1798" max="1798" width="2.453125" style="244" customWidth="1"/>
    <col min="1799" max="1799" width="9.54296875" style="244" customWidth="1"/>
    <col min="1800" max="1803" width="9" style="244" customWidth="1"/>
    <col min="1804" max="1804" width="6.26953125" style="244" customWidth="1"/>
    <col min="1805" max="1805" width="9" style="244" customWidth="1"/>
    <col min="1806" max="1806" width="4.26953125" style="244" customWidth="1"/>
    <col min="1807" max="1807" width="9.1796875" style="244"/>
    <col min="1808" max="1808" width="5.54296875" style="244" customWidth="1"/>
    <col min="1809" max="1811" width="9.1796875" style="244"/>
    <col min="1812" max="1812" width="9.81640625" style="244" bestFit="1" customWidth="1"/>
    <col min="1813" max="1819" width="12.54296875" style="244" bestFit="1" customWidth="1"/>
    <col min="1820" max="1820" width="9.1796875" style="244"/>
    <col min="1821" max="1822" width="9.7265625" style="244" bestFit="1" customWidth="1"/>
    <col min="1823" max="1823" width="13" style="244" bestFit="1" customWidth="1"/>
    <col min="1824" max="2041" width="9.1796875" style="244"/>
    <col min="2042" max="2042" width="3.26953125" style="244" customWidth="1"/>
    <col min="2043" max="2048" width="11" style="244" customWidth="1"/>
    <col min="2049" max="2049" width="2.453125" style="244" customWidth="1"/>
    <col min="2050" max="2050" width="4.81640625" style="244" customWidth="1"/>
    <col min="2051" max="2053" width="11" style="244" customWidth="1"/>
    <col min="2054" max="2054" width="2.453125" style="244" customWidth="1"/>
    <col min="2055" max="2055" width="9.54296875" style="244" customWidth="1"/>
    <col min="2056" max="2059" width="9" style="244" customWidth="1"/>
    <col min="2060" max="2060" width="6.26953125" style="244" customWidth="1"/>
    <col min="2061" max="2061" width="9" style="244" customWidth="1"/>
    <col min="2062" max="2062" width="4.26953125" style="244" customWidth="1"/>
    <col min="2063" max="2063" width="9.1796875" style="244"/>
    <col min="2064" max="2064" width="5.54296875" style="244" customWidth="1"/>
    <col min="2065" max="2067" width="9.1796875" style="244"/>
    <col min="2068" max="2068" width="9.81640625" style="244" bestFit="1" customWidth="1"/>
    <col min="2069" max="2075" width="12.54296875" style="244" bestFit="1" customWidth="1"/>
    <col min="2076" max="2076" width="9.1796875" style="244"/>
    <col min="2077" max="2078" width="9.7265625" style="244" bestFit="1" customWidth="1"/>
    <col min="2079" max="2079" width="13" style="244" bestFit="1" customWidth="1"/>
    <col min="2080" max="2297" width="9.1796875" style="244"/>
    <col min="2298" max="2298" width="3.26953125" style="244" customWidth="1"/>
    <col min="2299" max="2304" width="11" style="244" customWidth="1"/>
    <col min="2305" max="2305" width="2.453125" style="244" customWidth="1"/>
    <col min="2306" max="2306" width="4.81640625" style="244" customWidth="1"/>
    <col min="2307" max="2309" width="11" style="244" customWidth="1"/>
    <col min="2310" max="2310" width="2.453125" style="244" customWidth="1"/>
    <col min="2311" max="2311" width="9.54296875" style="244" customWidth="1"/>
    <col min="2312" max="2315" width="9" style="244" customWidth="1"/>
    <col min="2316" max="2316" width="6.26953125" style="244" customWidth="1"/>
    <col min="2317" max="2317" width="9" style="244" customWidth="1"/>
    <col min="2318" max="2318" width="4.26953125" style="244" customWidth="1"/>
    <col min="2319" max="2319" width="9.1796875" style="244"/>
    <col min="2320" max="2320" width="5.54296875" style="244" customWidth="1"/>
    <col min="2321" max="2323" width="9.1796875" style="244"/>
    <col min="2324" max="2324" width="9.81640625" style="244" bestFit="1" customWidth="1"/>
    <col min="2325" max="2331" width="12.54296875" style="244" bestFit="1" customWidth="1"/>
    <col min="2332" max="2332" width="9.1796875" style="244"/>
    <col min="2333" max="2334" width="9.7265625" style="244" bestFit="1" customWidth="1"/>
    <col min="2335" max="2335" width="13" style="244" bestFit="1" customWidth="1"/>
    <col min="2336" max="2553" width="9.1796875" style="244"/>
    <col min="2554" max="2554" width="3.26953125" style="244" customWidth="1"/>
    <col min="2555" max="2560" width="11" style="244" customWidth="1"/>
    <col min="2561" max="2561" width="2.453125" style="244" customWidth="1"/>
    <col min="2562" max="2562" width="4.81640625" style="244" customWidth="1"/>
    <col min="2563" max="2565" width="11" style="244" customWidth="1"/>
    <col min="2566" max="2566" width="2.453125" style="244" customWidth="1"/>
    <col min="2567" max="2567" width="9.54296875" style="244" customWidth="1"/>
    <col min="2568" max="2571" width="9" style="244" customWidth="1"/>
    <col min="2572" max="2572" width="6.26953125" style="244" customWidth="1"/>
    <col min="2573" max="2573" width="9" style="244" customWidth="1"/>
    <col min="2574" max="2574" width="4.26953125" style="244" customWidth="1"/>
    <col min="2575" max="2575" width="9.1796875" style="244"/>
    <col min="2576" max="2576" width="5.54296875" style="244" customWidth="1"/>
    <col min="2577" max="2579" width="9.1796875" style="244"/>
    <col min="2580" max="2580" width="9.81640625" style="244" bestFit="1" customWidth="1"/>
    <col min="2581" max="2587" width="12.54296875" style="244" bestFit="1" customWidth="1"/>
    <col min="2588" max="2588" width="9.1796875" style="244"/>
    <col min="2589" max="2590" width="9.7265625" style="244" bestFit="1" customWidth="1"/>
    <col min="2591" max="2591" width="13" style="244" bestFit="1" customWidth="1"/>
    <col min="2592" max="2809" width="9.1796875" style="244"/>
    <col min="2810" max="2810" width="3.26953125" style="244" customWidth="1"/>
    <col min="2811" max="2816" width="11" style="244" customWidth="1"/>
    <col min="2817" max="2817" width="2.453125" style="244" customWidth="1"/>
    <col min="2818" max="2818" width="4.81640625" style="244" customWidth="1"/>
    <col min="2819" max="2821" width="11" style="244" customWidth="1"/>
    <col min="2822" max="2822" width="2.453125" style="244" customWidth="1"/>
    <col min="2823" max="2823" width="9.54296875" style="244" customWidth="1"/>
    <col min="2824" max="2827" width="9" style="244" customWidth="1"/>
    <col min="2828" max="2828" width="6.26953125" style="244" customWidth="1"/>
    <col min="2829" max="2829" width="9" style="244" customWidth="1"/>
    <col min="2830" max="2830" width="4.26953125" style="244" customWidth="1"/>
    <col min="2831" max="2831" width="9.1796875" style="244"/>
    <col min="2832" max="2832" width="5.54296875" style="244" customWidth="1"/>
    <col min="2833" max="2835" width="9.1796875" style="244"/>
    <col min="2836" max="2836" width="9.81640625" style="244" bestFit="1" customWidth="1"/>
    <col min="2837" max="2843" width="12.54296875" style="244" bestFit="1" customWidth="1"/>
    <col min="2844" max="2844" width="9.1796875" style="244"/>
    <col min="2845" max="2846" width="9.7265625" style="244" bestFit="1" customWidth="1"/>
    <col min="2847" max="2847" width="13" style="244" bestFit="1" customWidth="1"/>
    <col min="2848" max="3065" width="9.1796875" style="244"/>
    <col min="3066" max="3066" width="3.26953125" style="244" customWidth="1"/>
    <col min="3067" max="3072" width="11" style="244" customWidth="1"/>
    <col min="3073" max="3073" width="2.453125" style="244" customWidth="1"/>
    <col min="3074" max="3074" width="4.81640625" style="244" customWidth="1"/>
    <col min="3075" max="3077" width="11" style="244" customWidth="1"/>
    <col min="3078" max="3078" width="2.453125" style="244" customWidth="1"/>
    <col min="3079" max="3079" width="9.54296875" style="244" customWidth="1"/>
    <col min="3080" max="3083" width="9" style="244" customWidth="1"/>
    <col min="3084" max="3084" width="6.26953125" style="244" customWidth="1"/>
    <col min="3085" max="3085" width="9" style="244" customWidth="1"/>
    <col min="3086" max="3086" width="4.26953125" style="244" customWidth="1"/>
    <col min="3087" max="3087" width="9.1796875" style="244"/>
    <col min="3088" max="3088" width="5.54296875" style="244" customWidth="1"/>
    <col min="3089" max="3091" width="9.1796875" style="244"/>
    <col min="3092" max="3092" width="9.81640625" style="244" bestFit="1" customWidth="1"/>
    <col min="3093" max="3099" width="12.54296875" style="244" bestFit="1" customWidth="1"/>
    <col min="3100" max="3100" width="9.1796875" style="244"/>
    <col min="3101" max="3102" width="9.7265625" style="244" bestFit="1" customWidth="1"/>
    <col min="3103" max="3103" width="13" style="244" bestFit="1" customWidth="1"/>
    <col min="3104" max="3321" width="9.1796875" style="244"/>
    <col min="3322" max="3322" width="3.26953125" style="244" customWidth="1"/>
    <col min="3323" max="3328" width="11" style="244" customWidth="1"/>
    <col min="3329" max="3329" width="2.453125" style="244" customWidth="1"/>
    <col min="3330" max="3330" width="4.81640625" style="244" customWidth="1"/>
    <col min="3331" max="3333" width="11" style="244" customWidth="1"/>
    <col min="3334" max="3334" width="2.453125" style="244" customWidth="1"/>
    <col min="3335" max="3335" width="9.54296875" style="244" customWidth="1"/>
    <col min="3336" max="3339" width="9" style="244" customWidth="1"/>
    <col min="3340" max="3340" width="6.26953125" style="244" customWidth="1"/>
    <col min="3341" max="3341" width="9" style="244" customWidth="1"/>
    <col min="3342" max="3342" width="4.26953125" style="244" customWidth="1"/>
    <col min="3343" max="3343" width="9.1796875" style="244"/>
    <col min="3344" max="3344" width="5.54296875" style="244" customWidth="1"/>
    <col min="3345" max="3347" width="9.1796875" style="244"/>
    <col min="3348" max="3348" width="9.81640625" style="244" bestFit="1" customWidth="1"/>
    <col min="3349" max="3355" width="12.54296875" style="244" bestFit="1" customWidth="1"/>
    <col min="3356" max="3356" width="9.1796875" style="244"/>
    <col min="3357" max="3358" width="9.7265625" style="244" bestFit="1" customWidth="1"/>
    <col min="3359" max="3359" width="13" style="244" bestFit="1" customWidth="1"/>
    <col min="3360" max="3577" width="9.1796875" style="244"/>
    <col min="3578" max="3578" width="3.26953125" style="244" customWidth="1"/>
    <col min="3579" max="3584" width="11" style="244" customWidth="1"/>
    <col min="3585" max="3585" width="2.453125" style="244" customWidth="1"/>
    <col min="3586" max="3586" width="4.81640625" style="244" customWidth="1"/>
    <col min="3587" max="3589" width="11" style="244" customWidth="1"/>
    <col min="3590" max="3590" width="2.453125" style="244" customWidth="1"/>
    <col min="3591" max="3591" width="9.54296875" style="244" customWidth="1"/>
    <col min="3592" max="3595" width="9" style="244" customWidth="1"/>
    <col min="3596" max="3596" width="6.26953125" style="244" customWidth="1"/>
    <col min="3597" max="3597" width="9" style="244" customWidth="1"/>
    <col min="3598" max="3598" width="4.26953125" style="244" customWidth="1"/>
    <col min="3599" max="3599" width="9.1796875" style="244"/>
    <col min="3600" max="3600" width="5.54296875" style="244" customWidth="1"/>
    <col min="3601" max="3603" width="9.1796875" style="244"/>
    <col min="3604" max="3604" width="9.81640625" style="244" bestFit="1" customWidth="1"/>
    <col min="3605" max="3611" width="12.54296875" style="244" bestFit="1" customWidth="1"/>
    <col min="3612" max="3612" width="9.1796875" style="244"/>
    <col min="3613" max="3614" width="9.7265625" style="244" bestFit="1" customWidth="1"/>
    <col min="3615" max="3615" width="13" style="244" bestFit="1" customWidth="1"/>
    <col min="3616" max="3833" width="9.1796875" style="244"/>
    <col min="3834" max="3834" width="3.26953125" style="244" customWidth="1"/>
    <col min="3835" max="3840" width="11" style="244" customWidth="1"/>
    <col min="3841" max="3841" width="2.453125" style="244" customWidth="1"/>
    <col min="3842" max="3842" width="4.81640625" style="244" customWidth="1"/>
    <col min="3843" max="3845" width="11" style="244" customWidth="1"/>
    <col min="3846" max="3846" width="2.453125" style="244" customWidth="1"/>
    <col min="3847" max="3847" width="9.54296875" style="244" customWidth="1"/>
    <col min="3848" max="3851" width="9" style="244" customWidth="1"/>
    <col min="3852" max="3852" width="6.26953125" style="244" customWidth="1"/>
    <col min="3853" max="3853" width="9" style="244" customWidth="1"/>
    <col min="3854" max="3854" width="4.26953125" style="244" customWidth="1"/>
    <col min="3855" max="3855" width="9.1796875" style="244"/>
    <col min="3856" max="3856" width="5.54296875" style="244" customWidth="1"/>
    <col min="3857" max="3859" width="9.1796875" style="244"/>
    <col min="3860" max="3860" width="9.81640625" style="244" bestFit="1" customWidth="1"/>
    <col min="3861" max="3867" width="12.54296875" style="244" bestFit="1" customWidth="1"/>
    <col min="3868" max="3868" width="9.1796875" style="244"/>
    <col min="3869" max="3870" width="9.7265625" style="244" bestFit="1" customWidth="1"/>
    <col min="3871" max="3871" width="13" style="244" bestFit="1" customWidth="1"/>
    <col min="3872" max="4089" width="9.1796875" style="244"/>
    <col min="4090" max="4090" width="3.26953125" style="244" customWidth="1"/>
    <col min="4091" max="4096" width="11" style="244" customWidth="1"/>
    <col min="4097" max="4097" width="2.453125" style="244" customWidth="1"/>
    <col min="4098" max="4098" width="4.81640625" style="244" customWidth="1"/>
    <col min="4099" max="4101" width="11" style="244" customWidth="1"/>
    <col min="4102" max="4102" width="2.453125" style="244" customWidth="1"/>
    <col min="4103" max="4103" width="9.54296875" style="244" customWidth="1"/>
    <col min="4104" max="4107" width="9" style="244" customWidth="1"/>
    <col min="4108" max="4108" width="6.26953125" style="244" customWidth="1"/>
    <col min="4109" max="4109" width="9" style="244" customWidth="1"/>
    <col min="4110" max="4110" width="4.26953125" style="244" customWidth="1"/>
    <col min="4111" max="4111" width="9.1796875" style="244"/>
    <col min="4112" max="4112" width="5.54296875" style="244" customWidth="1"/>
    <col min="4113" max="4115" width="9.1796875" style="244"/>
    <col min="4116" max="4116" width="9.81640625" style="244" bestFit="1" customWidth="1"/>
    <col min="4117" max="4123" width="12.54296875" style="244" bestFit="1" customWidth="1"/>
    <col min="4124" max="4124" width="9.1796875" style="244"/>
    <col min="4125" max="4126" width="9.7265625" style="244" bestFit="1" customWidth="1"/>
    <col min="4127" max="4127" width="13" style="244" bestFit="1" customWidth="1"/>
    <col min="4128" max="4345" width="9.1796875" style="244"/>
    <col min="4346" max="4346" width="3.26953125" style="244" customWidth="1"/>
    <col min="4347" max="4352" width="11" style="244" customWidth="1"/>
    <col min="4353" max="4353" width="2.453125" style="244" customWidth="1"/>
    <col min="4354" max="4354" width="4.81640625" style="244" customWidth="1"/>
    <col min="4355" max="4357" width="11" style="244" customWidth="1"/>
    <col min="4358" max="4358" width="2.453125" style="244" customWidth="1"/>
    <col min="4359" max="4359" width="9.54296875" style="244" customWidth="1"/>
    <col min="4360" max="4363" width="9" style="244" customWidth="1"/>
    <col min="4364" max="4364" width="6.26953125" style="244" customWidth="1"/>
    <col min="4365" max="4365" width="9" style="244" customWidth="1"/>
    <col min="4366" max="4366" width="4.26953125" style="244" customWidth="1"/>
    <col min="4367" max="4367" width="9.1796875" style="244"/>
    <col min="4368" max="4368" width="5.54296875" style="244" customWidth="1"/>
    <col min="4369" max="4371" width="9.1796875" style="244"/>
    <col min="4372" max="4372" width="9.81640625" style="244" bestFit="1" customWidth="1"/>
    <col min="4373" max="4379" width="12.54296875" style="244" bestFit="1" customWidth="1"/>
    <col min="4380" max="4380" width="9.1796875" style="244"/>
    <col min="4381" max="4382" width="9.7265625" style="244" bestFit="1" customWidth="1"/>
    <col min="4383" max="4383" width="13" style="244" bestFit="1" customWidth="1"/>
    <col min="4384" max="4601" width="9.1796875" style="244"/>
    <col min="4602" max="4602" width="3.26953125" style="244" customWidth="1"/>
    <col min="4603" max="4608" width="11" style="244" customWidth="1"/>
    <col min="4609" max="4609" width="2.453125" style="244" customWidth="1"/>
    <col min="4610" max="4610" width="4.81640625" style="244" customWidth="1"/>
    <col min="4611" max="4613" width="11" style="244" customWidth="1"/>
    <col min="4614" max="4614" width="2.453125" style="244" customWidth="1"/>
    <col min="4615" max="4615" width="9.54296875" style="244" customWidth="1"/>
    <col min="4616" max="4619" width="9" style="244" customWidth="1"/>
    <col min="4620" max="4620" width="6.26953125" style="244" customWidth="1"/>
    <col min="4621" max="4621" width="9" style="244" customWidth="1"/>
    <col min="4622" max="4622" width="4.26953125" style="244" customWidth="1"/>
    <col min="4623" max="4623" width="9.1796875" style="244"/>
    <col min="4624" max="4624" width="5.54296875" style="244" customWidth="1"/>
    <col min="4625" max="4627" width="9.1796875" style="244"/>
    <col min="4628" max="4628" width="9.81640625" style="244" bestFit="1" customWidth="1"/>
    <col min="4629" max="4635" width="12.54296875" style="244" bestFit="1" customWidth="1"/>
    <col min="4636" max="4636" width="9.1796875" style="244"/>
    <col min="4637" max="4638" width="9.7265625" style="244" bestFit="1" customWidth="1"/>
    <col min="4639" max="4639" width="13" style="244" bestFit="1" customWidth="1"/>
    <col min="4640" max="4857" width="9.1796875" style="244"/>
    <col min="4858" max="4858" width="3.26953125" style="244" customWidth="1"/>
    <col min="4859" max="4864" width="11" style="244" customWidth="1"/>
    <col min="4865" max="4865" width="2.453125" style="244" customWidth="1"/>
    <col min="4866" max="4866" width="4.81640625" style="244" customWidth="1"/>
    <col min="4867" max="4869" width="11" style="244" customWidth="1"/>
    <col min="4870" max="4870" width="2.453125" style="244" customWidth="1"/>
    <col min="4871" max="4871" width="9.54296875" style="244" customWidth="1"/>
    <col min="4872" max="4875" width="9" style="244" customWidth="1"/>
    <col min="4876" max="4876" width="6.26953125" style="244" customWidth="1"/>
    <col min="4877" max="4877" width="9" style="244" customWidth="1"/>
    <col min="4878" max="4878" width="4.26953125" style="244" customWidth="1"/>
    <col min="4879" max="4879" width="9.1796875" style="244"/>
    <col min="4880" max="4880" width="5.54296875" style="244" customWidth="1"/>
    <col min="4881" max="4883" width="9.1796875" style="244"/>
    <col min="4884" max="4884" width="9.81640625" style="244" bestFit="1" customWidth="1"/>
    <col min="4885" max="4891" width="12.54296875" style="244" bestFit="1" customWidth="1"/>
    <col min="4892" max="4892" width="9.1796875" style="244"/>
    <col min="4893" max="4894" width="9.7265625" style="244" bestFit="1" customWidth="1"/>
    <col min="4895" max="4895" width="13" style="244" bestFit="1" customWidth="1"/>
    <col min="4896" max="5113" width="9.1796875" style="244"/>
    <col min="5114" max="5114" width="3.26953125" style="244" customWidth="1"/>
    <col min="5115" max="5120" width="11" style="244" customWidth="1"/>
    <col min="5121" max="5121" width="2.453125" style="244" customWidth="1"/>
    <col min="5122" max="5122" width="4.81640625" style="244" customWidth="1"/>
    <col min="5123" max="5125" width="11" style="244" customWidth="1"/>
    <col min="5126" max="5126" width="2.453125" style="244" customWidth="1"/>
    <col min="5127" max="5127" width="9.54296875" style="244" customWidth="1"/>
    <col min="5128" max="5131" width="9" style="244" customWidth="1"/>
    <col min="5132" max="5132" width="6.26953125" style="244" customWidth="1"/>
    <col min="5133" max="5133" width="9" style="244" customWidth="1"/>
    <col min="5134" max="5134" width="4.26953125" style="244" customWidth="1"/>
    <col min="5135" max="5135" width="9.1796875" style="244"/>
    <col min="5136" max="5136" width="5.54296875" style="244" customWidth="1"/>
    <col min="5137" max="5139" width="9.1796875" style="244"/>
    <col min="5140" max="5140" width="9.81640625" style="244" bestFit="1" customWidth="1"/>
    <col min="5141" max="5147" width="12.54296875" style="244" bestFit="1" customWidth="1"/>
    <col min="5148" max="5148" width="9.1796875" style="244"/>
    <col min="5149" max="5150" width="9.7265625" style="244" bestFit="1" customWidth="1"/>
    <col min="5151" max="5151" width="13" style="244" bestFit="1" customWidth="1"/>
    <col min="5152" max="5369" width="9.1796875" style="244"/>
    <col min="5370" max="5370" width="3.26953125" style="244" customWidth="1"/>
    <col min="5371" max="5376" width="11" style="244" customWidth="1"/>
    <col min="5377" max="5377" width="2.453125" style="244" customWidth="1"/>
    <col min="5378" max="5378" width="4.81640625" style="244" customWidth="1"/>
    <col min="5379" max="5381" width="11" style="244" customWidth="1"/>
    <col min="5382" max="5382" width="2.453125" style="244" customWidth="1"/>
    <col min="5383" max="5383" width="9.54296875" style="244" customWidth="1"/>
    <col min="5384" max="5387" width="9" style="244" customWidth="1"/>
    <col min="5388" max="5388" width="6.26953125" style="244" customWidth="1"/>
    <col min="5389" max="5389" width="9" style="244" customWidth="1"/>
    <col min="5390" max="5390" width="4.26953125" style="244" customWidth="1"/>
    <col min="5391" max="5391" width="9.1796875" style="244"/>
    <col min="5392" max="5392" width="5.54296875" style="244" customWidth="1"/>
    <col min="5393" max="5395" width="9.1796875" style="244"/>
    <col min="5396" max="5396" width="9.81640625" style="244" bestFit="1" customWidth="1"/>
    <col min="5397" max="5403" width="12.54296875" style="244" bestFit="1" customWidth="1"/>
    <col min="5404" max="5404" width="9.1796875" style="244"/>
    <col min="5405" max="5406" width="9.7265625" style="244" bestFit="1" customWidth="1"/>
    <col min="5407" max="5407" width="13" style="244" bestFit="1" customWidth="1"/>
    <col min="5408" max="5625" width="9.1796875" style="244"/>
    <col min="5626" max="5626" width="3.26953125" style="244" customWidth="1"/>
    <col min="5627" max="5632" width="11" style="244" customWidth="1"/>
    <col min="5633" max="5633" width="2.453125" style="244" customWidth="1"/>
    <col min="5634" max="5634" width="4.81640625" style="244" customWidth="1"/>
    <col min="5635" max="5637" width="11" style="244" customWidth="1"/>
    <col min="5638" max="5638" width="2.453125" style="244" customWidth="1"/>
    <col min="5639" max="5639" width="9.54296875" style="244" customWidth="1"/>
    <col min="5640" max="5643" width="9" style="244" customWidth="1"/>
    <col min="5644" max="5644" width="6.26953125" style="244" customWidth="1"/>
    <col min="5645" max="5645" width="9" style="244" customWidth="1"/>
    <col min="5646" max="5646" width="4.26953125" style="244" customWidth="1"/>
    <col min="5647" max="5647" width="9.1796875" style="244"/>
    <col min="5648" max="5648" width="5.54296875" style="244" customWidth="1"/>
    <col min="5649" max="5651" width="9.1796875" style="244"/>
    <col min="5652" max="5652" width="9.81640625" style="244" bestFit="1" customWidth="1"/>
    <col min="5653" max="5659" width="12.54296875" style="244" bestFit="1" customWidth="1"/>
    <col min="5660" max="5660" width="9.1796875" style="244"/>
    <col min="5661" max="5662" width="9.7265625" style="244" bestFit="1" customWidth="1"/>
    <col min="5663" max="5663" width="13" style="244" bestFit="1" customWidth="1"/>
    <col min="5664" max="5881" width="9.1796875" style="244"/>
    <col min="5882" max="5882" width="3.26953125" style="244" customWidth="1"/>
    <col min="5883" max="5888" width="11" style="244" customWidth="1"/>
    <col min="5889" max="5889" width="2.453125" style="244" customWidth="1"/>
    <col min="5890" max="5890" width="4.81640625" style="244" customWidth="1"/>
    <col min="5891" max="5893" width="11" style="244" customWidth="1"/>
    <col min="5894" max="5894" width="2.453125" style="244" customWidth="1"/>
    <col min="5895" max="5895" width="9.54296875" style="244" customWidth="1"/>
    <col min="5896" max="5899" width="9" style="244" customWidth="1"/>
    <col min="5900" max="5900" width="6.26953125" style="244" customWidth="1"/>
    <col min="5901" max="5901" width="9" style="244" customWidth="1"/>
    <col min="5902" max="5902" width="4.26953125" style="244" customWidth="1"/>
    <col min="5903" max="5903" width="9.1796875" style="244"/>
    <col min="5904" max="5904" width="5.54296875" style="244" customWidth="1"/>
    <col min="5905" max="5907" width="9.1796875" style="244"/>
    <col min="5908" max="5908" width="9.81640625" style="244" bestFit="1" customWidth="1"/>
    <col min="5909" max="5915" width="12.54296875" style="244" bestFit="1" customWidth="1"/>
    <col min="5916" max="5916" width="9.1796875" style="244"/>
    <col min="5917" max="5918" width="9.7265625" style="244" bestFit="1" customWidth="1"/>
    <col min="5919" max="5919" width="13" style="244" bestFit="1" customWidth="1"/>
    <col min="5920" max="6137" width="9.1796875" style="244"/>
    <col min="6138" max="6138" width="3.26953125" style="244" customWidth="1"/>
    <col min="6139" max="6144" width="11" style="244" customWidth="1"/>
    <col min="6145" max="6145" width="2.453125" style="244" customWidth="1"/>
    <col min="6146" max="6146" width="4.81640625" style="244" customWidth="1"/>
    <col min="6147" max="6149" width="11" style="244" customWidth="1"/>
    <col min="6150" max="6150" width="2.453125" style="244" customWidth="1"/>
    <col min="6151" max="6151" width="9.54296875" style="244" customWidth="1"/>
    <col min="6152" max="6155" width="9" style="244" customWidth="1"/>
    <col min="6156" max="6156" width="6.26953125" style="244" customWidth="1"/>
    <col min="6157" max="6157" width="9" style="244" customWidth="1"/>
    <col min="6158" max="6158" width="4.26953125" style="244" customWidth="1"/>
    <col min="6159" max="6159" width="9.1796875" style="244"/>
    <col min="6160" max="6160" width="5.54296875" style="244" customWidth="1"/>
    <col min="6161" max="6163" width="9.1796875" style="244"/>
    <col min="6164" max="6164" width="9.81640625" style="244" bestFit="1" customWidth="1"/>
    <col min="6165" max="6171" width="12.54296875" style="244" bestFit="1" customWidth="1"/>
    <col min="6172" max="6172" width="9.1796875" style="244"/>
    <col min="6173" max="6174" width="9.7265625" style="244" bestFit="1" customWidth="1"/>
    <col min="6175" max="6175" width="13" style="244" bestFit="1" customWidth="1"/>
    <col min="6176" max="6393" width="9.1796875" style="244"/>
    <col min="6394" max="6394" width="3.26953125" style="244" customWidth="1"/>
    <col min="6395" max="6400" width="11" style="244" customWidth="1"/>
    <col min="6401" max="6401" width="2.453125" style="244" customWidth="1"/>
    <col min="6402" max="6402" width="4.81640625" style="244" customWidth="1"/>
    <col min="6403" max="6405" width="11" style="244" customWidth="1"/>
    <col min="6406" max="6406" width="2.453125" style="244" customWidth="1"/>
    <col min="6407" max="6407" width="9.54296875" style="244" customWidth="1"/>
    <col min="6408" max="6411" width="9" style="244" customWidth="1"/>
    <col min="6412" max="6412" width="6.26953125" style="244" customWidth="1"/>
    <col min="6413" max="6413" width="9" style="244" customWidth="1"/>
    <col min="6414" max="6414" width="4.26953125" style="244" customWidth="1"/>
    <col min="6415" max="6415" width="9.1796875" style="244"/>
    <col min="6416" max="6416" width="5.54296875" style="244" customWidth="1"/>
    <col min="6417" max="6419" width="9.1796875" style="244"/>
    <col min="6420" max="6420" width="9.81640625" style="244" bestFit="1" customWidth="1"/>
    <col min="6421" max="6427" width="12.54296875" style="244" bestFit="1" customWidth="1"/>
    <col min="6428" max="6428" width="9.1796875" style="244"/>
    <col min="6429" max="6430" width="9.7265625" style="244" bestFit="1" customWidth="1"/>
    <col min="6431" max="6431" width="13" style="244" bestFit="1" customWidth="1"/>
    <col min="6432" max="6649" width="9.1796875" style="244"/>
    <col min="6650" max="6650" width="3.26953125" style="244" customWidth="1"/>
    <col min="6651" max="6656" width="11" style="244" customWidth="1"/>
    <col min="6657" max="6657" width="2.453125" style="244" customWidth="1"/>
    <col min="6658" max="6658" width="4.81640625" style="244" customWidth="1"/>
    <col min="6659" max="6661" width="11" style="244" customWidth="1"/>
    <col min="6662" max="6662" width="2.453125" style="244" customWidth="1"/>
    <col min="6663" max="6663" width="9.54296875" style="244" customWidth="1"/>
    <col min="6664" max="6667" width="9" style="244" customWidth="1"/>
    <col min="6668" max="6668" width="6.26953125" style="244" customWidth="1"/>
    <col min="6669" max="6669" width="9" style="244" customWidth="1"/>
    <col min="6670" max="6670" width="4.26953125" style="244" customWidth="1"/>
    <col min="6671" max="6671" width="9.1796875" style="244"/>
    <col min="6672" max="6672" width="5.54296875" style="244" customWidth="1"/>
    <col min="6673" max="6675" width="9.1796875" style="244"/>
    <col min="6676" max="6676" width="9.81640625" style="244" bestFit="1" customWidth="1"/>
    <col min="6677" max="6683" width="12.54296875" style="244" bestFit="1" customWidth="1"/>
    <col min="6684" max="6684" width="9.1796875" style="244"/>
    <col min="6685" max="6686" width="9.7265625" style="244" bestFit="1" customWidth="1"/>
    <col min="6687" max="6687" width="13" style="244" bestFit="1" customWidth="1"/>
    <col min="6688" max="6905" width="9.1796875" style="244"/>
    <col min="6906" max="6906" width="3.26953125" style="244" customWidth="1"/>
    <col min="6907" max="6912" width="11" style="244" customWidth="1"/>
    <col min="6913" max="6913" width="2.453125" style="244" customWidth="1"/>
    <col min="6914" max="6914" width="4.81640625" style="244" customWidth="1"/>
    <col min="6915" max="6917" width="11" style="244" customWidth="1"/>
    <col min="6918" max="6918" width="2.453125" style="244" customWidth="1"/>
    <col min="6919" max="6919" width="9.54296875" style="244" customWidth="1"/>
    <col min="6920" max="6923" width="9" style="244" customWidth="1"/>
    <col min="6924" max="6924" width="6.26953125" style="244" customWidth="1"/>
    <col min="6925" max="6925" width="9" style="244" customWidth="1"/>
    <col min="6926" max="6926" width="4.26953125" style="244" customWidth="1"/>
    <col min="6927" max="6927" width="9.1796875" style="244"/>
    <col min="6928" max="6928" width="5.54296875" style="244" customWidth="1"/>
    <col min="6929" max="6931" width="9.1796875" style="244"/>
    <col min="6932" max="6932" width="9.81640625" style="244" bestFit="1" customWidth="1"/>
    <col min="6933" max="6939" width="12.54296875" style="244" bestFit="1" customWidth="1"/>
    <col min="6940" max="6940" width="9.1796875" style="244"/>
    <col min="6941" max="6942" width="9.7265625" style="244" bestFit="1" customWidth="1"/>
    <col min="6943" max="6943" width="13" style="244" bestFit="1" customWidth="1"/>
    <col min="6944" max="7161" width="9.1796875" style="244"/>
    <col min="7162" max="7162" width="3.26953125" style="244" customWidth="1"/>
    <col min="7163" max="7168" width="11" style="244" customWidth="1"/>
    <col min="7169" max="7169" width="2.453125" style="244" customWidth="1"/>
    <col min="7170" max="7170" width="4.81640625" style="244" customWidth="1"/>
    <col min="7171" max="7173" width="11" style="244" customWidth="1"/>
    <col min="7174" max="7174" width="2.453125" style="244" customWidth="1"/>
    <col min="7175" max="7175" width="9.54296875" style="244" customWidth="1"/>
    <col min="7176" max="7179" width="9" style="244" customWidth="1"/>
    <col min="7180" max="7180" width="6.26953125" style="244" customWidth="1"/>
    <col min="7181" max="7181" width="9" style="244" customWidth="1"/>
    <col min="7182" max="7182" width="4.26953125" style="244" customWidth="1"/>
    <col min="7183" max="7183" width="9.1796875" style="244"/>
    <col min="7184" max="7184" width="5.54296875" style="244" customWidth="1"/>
    <col min="7185" max="7187" width="9.1796875" style="244"/>
    <col min="7188" max="7188" width="9.81640625" style="244" bestFit="1" customWidth="1"/>
    <col min="7189" max="7195" width="12.54296875" style="244" bestFit="1" customWidth="1"/>
    <col min="7196" max="7196" width="9.1796875" style="244"/>
    <col min="7197" max="7198" width="9.7265625" style="244" bestFit="1" customWidth="1"/>
    <col min="7199" max="7199" width="13" style="244" bestFit="1" customWidth="1"/>
    <col min="7200" max="7417" width="9.1796875" style="244"/>
    <col min="7418" max="7418" width="3.26953125" style="244" customWidth="1"/>
    <col min="7419" max="7424" width="11" style="244" customWidth="1"/>
    <col min="7425" max="7425" width="2.453125" style="244" customWidth="1"/>
    <col min="7426" max="7426" width="4.81640625" style="244" customWidth="1"/>
    <col min="7427" max="7429" width="11" style="244" customWidth="1"/>
    <col min="7430" max="7430" width="2.453125" style="244" customWidth="1"/>
    <col min="7431" max="7431" width="9.54296875" style="244" customWidth="1"/>
    <col min="7432" max="7435" width="9" style="244" customWidth="1"/>
    <col min="7436" max="7436" width="6.26953125" style="244" customWidth="1"/>
    <col min="7437" max="7437" width="9" style="244" customWidth="1"/>
    <col min="7438" max="7438" width="4.26953125" style="244" customWidth="1"/>
    <col min="7439" max="7439" width="9.1796875" style="244"/>
    <col min="7440" max="7440" width="5.54296875" style="244" customWidth="1"/>
    <col min="7441" max="7443" width="9.1796875" style="244"/>
    <col min="7444" max="7444" width="9.81640625" style="244" bestFit="1" customWidth="1"/>
    <col min="7445" max="7451" width="12.54296875" style="244" bestFit="1" customWidth="1"/>
    <col min="7452" max="7452" width="9.1796875" style="244"/>
    <col min="7453" max="7454" width="9.7265625" style="244" bestFit="1" customWidth="1"/>
    <col min="7455" max="7455" width="13" style="244" bestFit="1" customWidth="1"/>
    <col min="7456" max="7673" width="9.1796875" style="244"/>
    <col min="7674" max="7674" width="3.26953125" style="244" customWidth="1"/>
    <col min="7675" max="7680" width="11" style="244" customWidth="1"/>
    <col min="7681" max="7681" width="2.453125" style="244" customWidth="1"/>
    <col min="7682" max="7682" width="4.81640625" style="244" customWidth="1"/>
    <col min="7683" max="7685" width="11" style="244" customWidth="1"/>
    <col min="7686" max="7686" width="2.453125" style="244" customWidth="1"/>
    <col min="7687" max="7687" width="9.54296875" style="244" customWidth="1"/>
    <col min="7688" max="7691" width="9" style="244" customWidth="1"/>
    <col min="7692" max="7692" width="6.26953125" style="244" customWidth="1"/>
    <col min="7693" max="7693" width="9" style="244" customWidth="1"/>
    <col min="7694" max="7694" width="4.26953125" style="244" customWidth="1"/>
    <col min="7695" max="7695" width="9.1796875" style="244"/>
    <col min="7696" max="7696" width="5.54296875" style="244" customWidth="1"/>
    <col min="7697" max="7699" width="9.1796875" style="244"/>
    <col min="7700" max="7700" width="9.81640625" style="244" bestFit="1" customWidth="1"/>
    <col min="7701" max="7707" width="12.54296875" style="244" bestFit="1" customWidth="1"/>
    <col min="7708" max="7708" width="9.1796875" style="244"/>
    <col min="7709" max="7710" width="9.7265625" style="244" bestFit="1" customWidth="1"/>
    <col min="7711" max="7711" width="13" style="244" bestFit="1" customWidth="1"/>
    <col min="7712" max="7929" width="9.1796875" style="244"/>
    <col min="7930" max="7930" width="3.26953125" style="244" customWidth="1"/>
    <col min="7931" max="7936" width="11" style="244" customWidth="1"/>
    <col min="7937" max="7937" width="2.453125" style="244" customWidth="1"/>
    <col min="7938" max="7938" width="4.81640625" style="244" customWidth="1"/>
    <col min="7939" max="7941" width="11" style="244" customWidth="1"/>
    <col min="7942" max="7942" width="2.453125" style="244" customWidth="1"/>
    <col min="7943" max="7943" width="9.54296875" style="244" customWidth="1"/>
    <col min="7944" max="7947" width="9" style="244" customWidth="1"/>
    <col min="7948" max="7948" width="6.26953125" style="244" customWidth="1"/>
    <col min="7949" max="7949" width="9" style="244" customWidth="1"/>
    <col min="7950" max="7950" width="4.26953125" style="244" customWidth="1"/>
    <col min="7951" max="7951" width="9.1796875" style="244"/>
    <col min="7952" max="7952" width="5.54296875" style="244" customWidth="1"/>
    <col min="7953" max="7955" width="9.1796875" style="244"/>
    <col min="7956" max="7956" width="9.81640625" style="244" bestFit="1" customWidth="1"/>
    <col min="7957" max="7963" width="12.54296875" style="244" bestFit="1" customWidth="1"/>
    <col min="7964" max="7964" width="9.1796875" style="244"/>
    <col min="7965" max="7966" width="9.7265625" style="244" bestFit="1" customWidth="1"/>
    <col min="7967" max="7967" width="13" style="244" bestFit="1" customWidth="1"/>
    <col min="7968" max="8185" width="9.1796875" style="244"/>
    <col min="8186" max="8186" width="3.26953125" style="244" customWidth="1"/>
    <col min="8187" max="8192" width="11" style="244" customWidth="1"/>
    <col min="8193" max="8193" width="2.453125" style="244" customWidth="1"/>
    <col min="8194" max="8194" width="4.81640625" style="244" customWidth="1"/>
    <col min="8195" max="8197" width="11" style="244" customWidth="1"/>
    <col min="8198" max="8198" width="2.453125" style="244" customWidth="1"/>
    <col min="8199" max="8199" width="9.54296875" style="244" customWidth="1"/>
    <col min="8200" max="8203" width="9" style="244" customWidth="1"/>
    <col min="8204" max="8204" width="6.26953125" style="244" customWidth="1"/>
    <col min="8205" max="8205" width="9" style="244" customWidth="1"/>
    <col min="8206" max="8206" width="4.26953125" style="244" customWidth="1"/>
    <col min="8207" max="8207" width="9.1796875" style="244"/>
    <col min="8208" max="8208" width="5.54296875" style="244" customWidth="1"/>
    <col min="8209" max="8211" width="9.1796875" style="244"/>
    <col min="8212" max="8212" width="9.81640625" style="244" bestFit="1" customWidth="1"/>
    <col min="8213" max="8219" width="12.54296875" style="244" bestFit="1" customWidth="1"/>
    <col min="8220" max="8220" width="9.1796875" style="244"/>
    <col min="8221" max="8222" width="9.7265625" style="244" bestFit="1" customWidth="1"/>
    <col min="8223" max="8223" width="13" style="244" bestFit="1" customWidth="1"/>
    <col min="8224" max="8441" width="9.1796875" style="244"/>
    <col min="8442" max="8442" width="3.26953125" style="244" customWidth="1"/>
    <col min="8443" max="8448" width="11" style="244" customWidth="1"/>
    <col min="8449" max="8449" width="2.453125" style="244" customWidth="1"/>
    <col min="8450" max="8450" width="4.81640625" style="244" customWidth="1"/>
    <col min="8451" max="8453" width="11" style="244" customWidth="1"/>
    <col min="8454" max="8454" width="2.453125" style="244" customWidth="1"/>
    <col min="8455" max="8455" width="9.54296875" style="244" customWidth="1"/>
    <col min="8456" max="8459" width="9" style="244" customWidth="1"/>
    <col min="8460" max="8460" width="6.26953125" style="244" customWidth="1"/>
    <col min="8461" max="8461" width="9" style="244" customWidth="1"/>
    <col min="8462" max="8462" width="4.26953125" style="244" customWidth="1"/>
    <col min="8463" max="8463" width="9.1796875" style="244"/>
    <col min="8464" max="8464" width="5.54296875" style="244" customWidth="1"/>
    <col min="8465" max="8467" width="9.1796875" style="244"/>
    <col min="8468" max="8468" width="9.81640625" style="244" bestFit="1" customWidth="1"/>
    <col min="8469" max="8475" width="12.54296875" style="244" bestFit="1" customWidth="1"/>
    <col min="8476" max="8476" width="9.1796875" style="244"/>
    <col min="8477" max="8478" width="9.7265625" style="244" bestFit="1" customWidth="1"/>
    <col min="8479" max="8479" width="13" style="244" bestFit="1" customWidth="1"/>
    <col min="8480" max="8697" width="9.1796875" style="244"/>
    <col min="8698" max="8698" width="3.26953125" style="244" customWidth="1"/>
    <col min="8699" max="8704" width="11" style="244" customWidth="1"/>
    <col min="8705" max="8705" width="2.453125" style="244" customWidth="1"/>
    <col min="8706" max="8706" width="4.81640625" style="244" customWidth="1"/>
    <col min="8707" max="8709" width="11" style="244" customWidth="1"/>
    <col min="8710" max="8710" width="2.453125" style="244" customWidth="1"/>
    <col min="8711" max="8711" width="9.54296875" style="244" customWidth="1"/>
    <col min="8712" max="8715" width="9" style="244" customWidth="1"/>
    <col min="8716" max="8716" width="6.26953125" style="244" customWidth="1"/>
    <col min="8717" max="8717" width="9" style="244" customWidth="1"/>
    <col min="8718" max="8718" width="4.26953125" style="244" customWidth="1"/>
    <col min="8719" max="8719" width="9.1796875" style="244"/>
    <col min="8720" max="8720" width="5.54296875" style="244" customWidth="1"/>
    <col min="8721" max="8723" width="9.1796875" style="244"/>
    <col min="8724" max="8724" width="9.81640625" style="244" bestFit="1" customWidth="1"/>
    <col min="8725" max="8731" width="12.54296875" style="244" bestFit="1" customWidth="1"/>
    <col min="8732" max="8732" width="9.1796875" style="244"/>
    <col min="8733" max="8734" width="9.7265625" style="244" bestFit="1" customWidth="1"/>
    <col min="8735" max="8735" width="13" style="244" bestFit="1" customWidth="1"/>
    <col min="8736" max="8953" width="9.1796875" style="244"/>
    <col min="8954" max="8954" width="3.26953125" style="244" customWidth="1"/>
    <col min="8955" max="8960" width="11" style="244" customWidth="1"/>
    <col min="8961" max="8961" width="2.453125" style="244" customWidth="1"/>
    <col min="8962" max="8962" width="4.81640625" style="244" customWidth="1"/>
    <col min="8963" max="8965" width="11" style="244" customWidth="1"/>
    <col min="8966" max="8966" width="2.453125" style="244" customWidth="1"/>
    <col min="8967" max="8967" width="9.54296875" style="244" customWidth="1"/>
    <col min="8968" max="8971" width="9" style="244" customWidth="1"/>
    <col min="8972" max="8972" width="6.26953125" style="244" customWidth="1"/>
    <col min="8973" max="8973" width="9" style="244" customWidth="1"/>
    <col min="8974" max="8974" width="4.26953125" style="244" customWidth="1"/>
    <col min="8975" max="8975" width="9.1796875" style="244"/>
    <col min="8976" max="8976" width="5.54296875" style="244" customWidth="1"/>
    <col min="8977" max="8979" width="9.1796875" style="244"/>
    <col min="8980" max="8980" width="9.81640625" style="244" bestFit="1" customWidth="1"/>
    <col min="8981" max="8987" width="12.54296875" style="244" bestFit="1" customWidth="1"/>
    <col min="8988" max="8988" width="9.1796875" style="244"/>
    <col min="8989" max="8990" width="9.7265625" style="244" bestFit="1" customWidth="1"/>
    <col min="8991" max="8991" width="13" style="244" bestFit="1" customWidth="1"/>
    <col min="8992" max="9209" width="9.1796875" style="244"/>
    <col min="9210" max="9210" width="3.26953125" style="244" customWidth="1"/>
    <col min="9211" max="9216" width="11" style="244" customWidth="1"/>
    <col min="9217" max="9217" width="2.453125" style="244" customWidth="1"/>
    <col min="9218" max="9218" width="4.81640625" style="244" customWidth="1"/>
    <col min="9219" max="9221" width="11" style="244" customWidth="1"/>
    <col min="9222" max="9222" width="2.453125" style="244" customWidth="1"/>
    <col min="9223" max="9223" width="9.54296875" style="244" customWidth="1"/>
    <col min="9224" max="9227" width="9" style="244" customWidth="1"/>
    <col min="9228" max="9228" width="6.26953125" style="244" customWidth="1"/>
    <col min="9229" max="9229" width="9" style="244" customWidth="1"/>
    <col min="9230" max="9230" width="4.26953125" style="244" customWidth="1"/>
    <col min="9231" max="9231" width="9.1796875" style="244"/>
    <col min="9232" max="9232" width="5.54296875" style="244" customWidth="1"/>
    <col min="9233" max="9235" width="9.1796875" style="244"/>
    <col min="9236" max="9236" width="9.81640625" style="244" bestFit="1" customWidth="1"/>
    <col min="9237" max="9243" width="12.54296875" style="244" bestFit="1" customWidth="1"/>
    <col min="9244" max="9244" width="9.1796875" style="244"/>
    <col min="9245" max="9246" width="9.7265625" style="244" bestFit="1" customWidth="1"/>
    <col min="9247" max="9247" width="13" style="244" bestFit="1" customWidth="1"/>
    <col min="9248" max="9465" width="9.1796875" style="244"/>
    <col min="9466" max="9466" width="3.26953125" style="244" customWidth="1"/>
    <col min="9467" max="9472" width="11" style="244" customWidth="1"/>
    <col min="9473" max="9473" width="2.453125" style="244" customWidth="1"/>
    <col min="9474" max="9474" width="4.81640625" style="244" customWidth="1"/>
    <col min="9475" max="9477" width="11" style="244" customWidth="1"/>
    <col min="9478" max="9478" width="2.453125" style="244" customWidth="1"/>
    <col min="9479" max="9479" width="9.54296875" style="244" customWidth="1"/>
    <col min="9480" max="9483" width="9" style="244" customWidth="1"/>
    <col min="9484" max="9484" width="6.26953125" style="244" customWidth="1"/>
    <col min="9485" max="9485" width="9" style="244" customWidth="1"/>
    <col min="9486" max="9486" width="4.26953125" style="244" customWidth="1"/>
    <col min="9487" max="9487" width="9.1796875" style="244"/>
    <col min="9488" max="9488" width="5.54296875" style="244" customWidth="1"/>
    <col min="9489" max="9491" width="9.1796875" style="244"/>
    <col min="9492" max="9492" width="9.81640625" style="244" bestFit="1" customWidth="1"/>
    <col min="9493" max="9499" width="12.54296875" style="244" bestFit="1" customWidth="1"/>
    <col min="9500" max="9500" width="9.1796875" style="244"/>
    <col min="9501" max="9502" width="9.7265625" style="244" bestFit="1" customWidth="1"/>
    <col min="9503" max="9503" width="13" style="244" bestFit="1" customWidth="1"/>
    <col min="9504" max="9721" width="9.1796875" style="244"/>
    <col min="9722" max="9722" width="3.26953125" style="244" customWidth="1"/>
    <col min="9723" max="9728" width="11" style="244" customWidth="1"/>
    <col min="9729" max="9729" width="2.453125" style="244" customWidth="1"/>
    <col min="9730" max="9730" width="4.81640625" style="244" customWidth="1"/>
    <col min="9731" max="9733" width="11" style="244" customWidth="1"/>
    <col min="9734" max="9734" width="2.453125" style="244" customWidth="1"/>
    <col min="9735" max="9735" width="9.54296875" style="244" customWidth="1"/>
    <col min="9736" max="9739" width="9" style="244" customWidth="1"/>
    <col min="9740" max="9740" width="6.26953125" style="244" customWidth="1"/>
    <col min="9741" max="9741" width="9" style="244" customWidth="1"/>
    <col min="9742" max="9742" width="4.26953125" style="244" customWidth="1"/>
    <col min="9743" max="9743" width="9.1796875" style="244"/>
    <col min="9744" max="9744" width="5.54296875" style="244" customWidth="1"/>
    <col min="9745" max="9747" width="9.1796875" style="244"/>
    <col min="9748" max="9748" width="9.81640625" style="244" bestFit="1" customWidth="1"/>
    <col min="9749" max="9755" width="12.54296875" style="244" bestFit="1" customWidth="1"/>
    <col min="9756" max="9756" width="9.1796875" style="244"/>
    <col min="9757" max="9758" width="9.7265625" style="244" bestFit="1" customWidth="1"/>
    <col min="9759" max="9759" width="13" style="244" bestFit="1" customWidth="1"/>
    <col min="9760" max="9977" width="9.1796875" style="244"/>
    <col min="9978" max="9978" width="3.26953125" style="244" customWidth="1"/>
    <col min="9979" max="9984" width="11" style="244" customWidth="1"/>
    <col min="9985" max="9985" width="2.453125" style="244" customWidth="1"/>
    <col min="9986" max="9986" width="4.81640625" style="244" customWidth="1"/>
    <col min="9987" max="9989" width="11" style="244" customWidth="1"/>
    <col min="9990" max="9990" width="2.453125" style="244" customWidth="1"/>
    <col min="9991" max="9991" width="9.54296875" style="244" customWidth="1"/>
    <col min="9992" max="9995" width="9" style="244" customWidth="1"/>
    <col min="9996" max="9996" width="6.26953125" style="244" customWidth="1"/>
    <col min="9997" max="9997" width="9" style="244" customWidth="1"/>
    <col min="9998" max="9998" width="4.26953125" style="244" customWidth="1"/>
    <col min="9999" max="9999" width="9.1796875" style="244"/>
    <col min="10000" max="10000" width="5.54296875" style="244" customWidth="1"/>
    <col min="10001" max="10003" width="9.1796875" style="244"/>
    <col min="10004" max="10004" width="9.81640625" style="244" bestFit="1" customWidth="1"/>
    <col min="10005" max="10011" width="12.54296875" style="244" bestFit="1" customWidth="1"/>
    <col min="10012" max="10012" width="9.1796875" style="244"/>
    <col min="10013" max="10014" width="9.7265625" style="244" bestFit="1" customWidth="1"/>
    <col min="10015" max="10015" width="13" style="244" bestFit="1" customWidth="1"/>
    <col min="10016" max="10233" width="9.1796875" style="244"/>
    <col min="10234" max="10234" width="3.26953125" style="244" customWidth="1"/>
    <col min="10235" max="10240" width="11" style="244" customWidth="1"/>
    <col min="10241" max="10241" width="2.453125" style="244" customWidth="1"/>
    <col min="10242" max="10242" width="4.81640625" style="244" customWidth="1"/>
    <col min="10243" max="10245" width="11" style="244" customWidth="1"/>
    <col min="10246" max="10246" width="2.453125" style="244" customWidth="1"/>
    <col min="10247" max="10247" width="9.54296875" style="244" customWidth="1"/>
    <col min="10248" max="10251" width="9" style="244" customWidth="1"/>
    <col min="10252" max="10252" width="6.26953125" style="244" customWidth="1"/>
    <col min="10253" max="10253" width="9" style="244" customWidth="1"/>
    <col min="10254" max="10254" width="4.26953125" style="244" customWidth="1"/>
    <col min="10255" max="10255" width="9.1796875" style="244"/>
    <col min="10256" max="10256" width="5.54296875" style="244" customWidth="1"/>
    <col min="10257" max="10259" width="9.1796875" style="244"/>
    <col min="10260" max="10260" width="9.81640625" style="244" bestFit="1" customWidth="1"/>
    <col min="10261" max="10267" width="12.54296875" style="244" bestFit="1" customWidth="1"/>
    <col min="10268" max="10268" width="9.1796875" style="244"/>
    <col min="10269" max="10270" width="9.7265625" style="244" bestFit="1" customWidth="1"/>
    <col min="10271" max="10271" width="13" style="244" bestFit="1" customWidth="1"/>
    <col min="10272" max="10489" width="9.1796875" style="244"/>
    <col min="10490" max="10490" width="3.26953125" style="244" customWidth="1"/>
    <col min="10491" max="10496" width="11" style="244" customWidth="1"/>
    <col min="10497" max="10497" width="2.453125" style="244" customWidth="1"/>
    <col min="10498" max="10498" width="4.81640625" style="244" customWidth="1"/>
    <col min="10499" max="10501" width="11" style="244" customWidth="1"/>
    <col min="10502" max="10502" width="2.453125" style="244" customWidth="1"/>
    <col min="10503" max="10503" width="9.54296875" style="244" customWidth="1"/>
    <col min="10504" max="10507" width="9" style="244" customWidth="1"/>
    <col min="10508" max="10508" width="6.26953125" style="244" customWidth="1"/>
    <col min="10509" max="10509" width="9" style="244" customWidth="1"/>
    <col min="10510" max="10510" width="4.26953125" style="244" customWidth="1"/>
    <col min="10511" max="10511" width="9.1796875" style="244"/>
    <col min="10512" max="10512" width="5.54296875" style="244" customWidth="1"/>
    <col min="10513" max="10515" width="9.1796875" style="244"/>
    <col min="10516" max="10516" width="9.81640625" style="244" bestFit="1" customWidth="1"/>
    <col min="10517" max="10523" width="12.54296875" style="244" bestFit="1" customWidth="1"/>
    <col min="10524" max="10524" width="9.1796875" style="244"/>
    <col min="10525" max="10526" width="9.7265625" style="244" bestFit="1" customWidth="1"/>
    <col min="10527" max="10527" width="13" style="244" bestFit="1" customWidth="1"/>
    <col min="10528" max="10745" width="9.1796875" style="244"/>
    <col min="10746" max="10746" width="3.26953125" style="244" customWidth="1"/>
    <col min="10747" max="10752" width="11" style="244" customWidth="1"/>
    <col min="10753" max="10753" width="2.453125" style="244" customWidth="1"/>
    <col min="10754" max="10754" width="4.81640625" style="244" customWidth="1"/>
    <col min="10755" max="10757" width="11" style="244" customWidth="1"/>
    <col min="10758" max="10758" width="2.453125" style="244" customWidth="1"/>
    <col min="10759" max="10759" width="9.54296875" style="244" customWidth="1"/>
    <col min="10760" max="10763" width="9" style="244" customWidth="1"/>
    <col min="10764" max="10764" width="6.26953125" style="244" customWidth="1"/>
    <col min="10765" max="10765" width="9" style="244" customWidth="1"/>
    <col min="10766" max="10766" width="4.26953125" style="244" customWidth="1"/>
    <col min="10767" max="10767" width="9.1796875" style="244"/>
    <col min="10768" max="10768" width="5.54296875" style="244" customWidth="1"/>
    <col min="10769" max="10771" width="9.1796875" style="244"/>
    <col min="10772" max="10772" width="9.81640625" style="244" bestFit="1" customWidth="1"/>
    <col min="10773" max="10779" width="12.54296875" style="244" bestFit="1" customWidth="1"/>
    <col min="10780" max="10780" width="9.1796875" style="244"/>
    <col min="10781" max="10782" width="9.7265625" style="244" bestFit="1" customWidth="1"/>
    <col min="10783" max="10783" width="13" style="244" bestFit="1" customWidth="1"/>
    <col min="10784" max="11001" width="9.1796875" style="244"/>
    <col min="11002" max="11002" width="3.26953125" style="244" customWidth="1"/>
    <col min="11003" max="11008" width="11" style="244" customWidth="1"/>
    <col min="11009" max="11009" width="2.453125" style="244" customWidth="1"/>
    <col min="11010" max="11010" width="4.81640625" style="244" customWidth="1"/>
    <col min="11011" max="11013" width="11" style="244" customWidth="1"/>
    <col min="11014" max="11014" width="2.453125" style="244" customWidth="1"/>
    <col min="11015" max="11015" width="9.54296875" style="244" customWidth="1"/>
    <col min="11016" max="11019" width="9" style="244" customWidth="1"/>
    <col min="11020" max="11020" width="6.26953125" style="244" customWidth="1"/>
    <col min="11021" max="11021" width="9" style="244" customWidth="1"/>
    <col min="11022" max="11022" width="4.26953125" style="244" customWidth="1"/>
    <col min="11023" max="11023" width="9.1796875" style="244"/>
    <col min="11024" max="11024" width="5.54296875" style="244" customWidth="1"/>
    <col min="11025" max="11027" width="9.1796875" style="244"/>
    <col min="11028" max="11028" width="9.81640625" style="244" bestFit="1" customWidth="1"/>
    <col min="11029" max="11035" width="12.54296875" style="244" bestFit="1" customWidth="1"/>
    <col min="11036" max="11036" width="9.1796875" style="244"/>
    <col min="11037" max="11038" width="9.7265625" style="244" bestFit="1" customWidth="1"/>
    <col min="11039" max="11039" width="13" style="244" bestFit="1" customWidth="1"/>
    <col min="11040" max="11257" width="9.1796875" style="244"/>
    <col min="11258" max="11258" width="3.26953125" style="244" customWidth="1"/>
    <col min="11259" max="11264" width="11" style="244" customWidth="1"/>
    <col min="11265" max="11265" width="2.453125" style="244" customWidth="1"/>
    <col min="11266" max="11266" width="4.81640625" style="244" customWidth="1"/>
    <col min="11267" max="11269" width="11" style="244" customWidth="1"/>
    <col min="11270" max="11270" width="2.453125" style="244" customWidth="1"/>
    <col min="11271" max="11271" width="9.54296875" style="244" customWidth="1"/>
    <col min="11272" max="11275" width="9" style="244" customWidth="1"/>
    <col min="11276" max="11276" width="6.26953125" style="244" customWidth="1"/>
    <col min="11277" max="11277" width="9" style="244" customWidth="1"/>
    <col min="11278" max="11278" width="4.26953125" style="244" customWidth="1"/>
    <col min="11279" max="11279" width="9.1796875" style="244"/>
    <col min="11280" max="11280" width="5.54296875" style="244" customWidth="1"/>
    <col min="11281" max="11283" width="9.1796875" style="244"/>
    <col min="11284" max="11284" width="9.81640625" style="244" bestFit="1" customWidth="1"/>
    <col min="11285" max="11291" width="12.54296875" style="244" bestFit="1" customWidth="1"/>
    <col min="11292" max="11292" width="9.1796875" style="244"/>
    <col min="11293" max="11294" width="9.7265625" style="244" bestFit="1" customWidth="1"/>
    <col min="11295" max="11295" width="13" style="244" bestFit="1" customWidth="1"/>
    <col min="11296" max="11513" width="9.1796875" style="244"/>
    <col min="11514" max="11514" width="3.26953125" style="244" customWidth="1"/>
    <col min="11515" max="11520" width="11" style="244" customWidth="1"/>
    <col min="11521" max="11521" width="2.453125" style="244" customWidth="1"/>
    <col min="11522" max="11522" width="4.81640625" style="244" customWidth="1"/>
    <col min="11523" max="11525" width="11" style="244" customWidth="1"/>
    <col min="11526" max="11526" width="2.453125" style="244" customWidth="1"/>
    <col min="11527" max="11527" width="9.54296875" style="244" customWidth="1"/>
    <col min="11528" max="11531" width="9" style="244" customWidth="1"/>
    <col min="11532" max="11532" width="6.26953125" style="244" customWidth="1"/>
    <col min="11533" max="11533" width="9" style="244" customWidth="1"/>
    <col min="11534" max="11534" width="4.26953125" style="244" customWidth="1"/>
    <col min="11535" max="11535" width="9.1796875" style="244"/>
    <col min="11536" max="11536" width="5.54296875" style="244" customWidth="1"/>
    <col min="11537" max="11539" width="9.1796875" style="244"/>
    <col min="11540" max="11540" width="9.81640625" style="244" bestFit="1" customWidth="1"/>
    <col min="11541" max="11547" width="12.54296875" style="244" bestFit="1" customWidth="1"/>
    <col min="11548" max="11548" width="9.1796875" style="244"/>
    <col min="11549" max="11550" width="9.7265625" style="244" bestFit="1" customWidth="1"/>
    <col min="11551" max="11551" width="13" style="244" bestFit="1" customWidth="1"/>
    <col min="11552" max="11769" width="9.1796875" style="244"/>
    <col min="11770" max="11770" width="3.26953125" style="244" customWidth="1"/>
    <col min="11771" max="11776" width="11" style="244" customWidth="1"/>
    <col min="11777" max="11777" width="2.453125" style="244" customWidth="1"/>
    <col min="11778" max="11778" width="4.81640625" style="244" customWidth="1"/>
    <col min="11779" max="11781" width="11" style="244" customWidth="1"/>
    <col min="11782" max="11782" width="2.453125" style="244" customWidth="1"/>
    <col min="11783" max="11783" width="9.54296875" style="244" customWidth="1"/>
    <col min="11784" max="11787" width="9" style="244" customWidth="1"/>
    <col min="11788" max="11788" width="6.26953125" style="244" customWidth="1"/>
    <col min="11789" max="11789" width="9" style="244" customWidth="1"/>
    <col min="11790" max="11790" width="4.26953125" style="244" customWidth="1"/>
    <col min="11791" max="11791" width="9.1796875" style="244"/>
    <col min="11792" max="11792" width="5.54296875" style="244" customWidth="1"/>
    <col min="11793" max="11795" width="9.1796875" style="244"/>
    <col min="11796" max="11796" width="9.81640625" style="244" bestFit="1" customWidth="1"/>
    <col min="11797" max="11803" width="12.54296875" style="244" bestFit="1" customWidth="1"/>
    <col min="11804" max="11804" width="9.1796875" style="244"/>
    <col min="11805" max="11806" width="9.7265625" style="244" bestFit="1" customWidth="1"/>
    <col min="11807" max="11807" width="13" style="244" bestFit="1" customWidth="1"/>
    <col min="11808" max="12025" width="9.1796875" style="244"/>
    <col min="12026" max="12026" width="3.26953125" style="244" customWidth="1"/>
    <col min="12027" max="12032" width="11" style="244" customWidth="1"/>
    <col min="12033" max="12033" width="2.453125" style="244" customWidth="1"/>
    <col min="12034" max="12034" width="4.81640625" style="244" customWidth="1"/>
    <col min="12035" max="12037" width="11" style="244" customWidth="1"/>
    <col min="12038" max="12038" width="2.453125" style="244" customWidth="1"/>
    <col min="12039" max="12039" width="9.54296875" style="244" customWidth="1"/>
    <col min="12040" max="12043" width="9" style="244" customWidth="1"/>
    <col min="12044" max="12044" width="6.26953125" style="244" customWidth="1"/>
    <col min="12045" max="12045" width="9" style="244" customWidth="1"/>
    <col min="12046" max="12046" width="4.26953125" style="244" customWidth="1"/>
    <col min="12047" max="12047" width="9.1796875" style="244"/>
    <col min="12048" max="12048" width="5.54296875" style="244" customWidth="1"/>
    <col min="12049" max="12051" width="9.1796875" style="244"/>
    <col min="12052" max="12052" width="9.81640625" style="244" bestFit="1" customWidth="1"/>
    <col min="12053" max="12059" width="12.54296875" style="244" bestFit="1" customWidth="1"/>
    <col min="12060" max="12060" width="9.1796875" style="244"/>
    <col min="12061" max="12062" width="9.7265625" style="244" bestFit="1" customWidth="1"/>
    <col min="12063" max="12063" width="13" style="244" bestFit="1" customWidth="1"/>
    <col min="12064" max="12281" width="9.1796875" style="244"/>
    <col min="12282" max="12282" width="3.26953125" style="244" customWidth="1"/>
    <col min="12283" max="12288" width="11" style="244" customWidth="1"/>
    <col min="12289" max="12289" width="2.453125" style="244" customWidth="1"/>
    <col min="12290" max="12290" width="4.81640625" style="244" customWidth="1"/>
    <col min="12291" max="12293" width="11" style="244" customWidth="1"/>
    <col min="12294" max="12294" width="2.453125" style="244" customWidth="1"/>
    <col min="12295" max="12295" width="9.54296875" style="244" customWidth="1"/>
    <col min="12296" max="12299" width="9" style="244" customWidth="1"/>
    <col min="12300" max="12300" width="6.26953125" style="244" customWidth="1"/>
    <col min="12301" max="12301" width="9" style="244" customWidth="1"/>
    <col min="12302" max="12302" width="4.26953125" style="244" customWidth="1"/>
    <col min="12303" max="12303" width="9.1796875" style="244"/>
    <col min="12304" max="12304" width="5.54296875" style="244" customWidth="1"/>
    <col min="12305" max="12307" width="9.1796875" style="244"/>
    <col min="12308" max="12308" width="9.81640625" style="244" bestFit="1" customWidth="1"/>
    <col min="12309" max="12315" width="12.54296875" style="244" bestFit="1" customWidth="1"/>
    <col min="12316" max="12316" width="9.1796875" style="244"/>
    <col min="12317" max="12318" width="9.7265625" style="244" bestFit="1" customWidth="1"/>
    <col min="12319" max="12319" width="13" style="244" bestFit="1" customWidth="1"/>
    <col min="12320" max="12537" width="9.1796875" style="244"/>
    <col min="12538" max="12538" width="3.26953125" style="244" customWidth="1"/>
    <col min="12539" max="12544" width="11" style="244" customWidth="1"/>
    <col min="12545" max="12545" width="2.453125" style="244" customWidth="1"/>
    <col min="12546" max="12546" width="4.81640625" style="244" customWidth="1"/>
    <col min="12547" max="12549" width="11" style="244" customWidth="1"/>
    <col min="12550" max="12550" width="2.453125" style="244" customWidth="1"/>
    <col min="12551" max="12551" width="9.54296875" style="244" customWidth="1"/>
    <col min="12552" max="12555" width="9" style="244" customWidth="1"/>
    <col min="12556" max="12556" width="6.26953125" style="244" customWidth="1"/>
    <col min="12557" max="12557" width="9" style="244" customWidth="1"/>
    <col min="12558" max="12558" width="4.26953125" style="244" customWidth="1"/>
    <col min="12559" max="12559" width="9.1796875" style="244"/>
    <col min="12560" max="12560" width="5.54296875" style="244" customWidth="1"/>
    <col min="12561" max="12563" width="9.1796875" style="244"/>
    <col min="12564" max="12564" width="9.81640625" style="244" bestFit="1" customWidth="1"/>
    <col min="12565" max="12571" width="12.54296875" style="244" bestFit="1" customWidth="1"/>
    <col min="12572" max="12572" width="9.1796875" style="244"/>
    <col min="12573" max="12574" width="9.7265625" style="244" bestFit="1" customWidth="1"/>
    <col min="12575" max="12575" width="13" style="244" bestFit="1" customWidth="1"/>
    <col min="12576" max="12793" width="9.1796875" style="244"/>
    <col min="12794" max="12794" width="3.26953125" style="244" customWidth="1"/>
    <col min="12795" max="12800" width="11" style="244" customWidth="1"/>
    <col min="12801" max="12801" width="2.453125" style="244" customWidth="1"/>
    <col min="12802" max="12802" width="4.81640625" style="244" customWidth="1"/>
    <col min="12803" max="12805" width="11" style="244" customWidth="1"/>
    <col min="12806" max="12806" width="2.453125" style="244" customWidth="1"/>
    <col min="12807" max="12807" width="9.54296875" style="244" customWidth="1"/>
    <col min="12808" max="12811" width="9" style="244" customWidth="1"/>
    <col min="12812" max="12812" width="6.26953125" style="244" customWidth="1"/>
    <col min="12813" max="12813" width="9" style="244" customWidth="1"/>
    <col min="12814" max="12814" width="4.26953125" style="244" customWidth="1"/>
    <col min="12815" max="12815" width="9.1796875" style="244"/>
    <col min="12816" max="12816" width="5.54296875" style="244" customWidth="1"/>
    <col min="12817" max="12819" width="9.1796875" style="244"/>
    <col min="12820" max="12820" width="9.81640625" style="244" bestFit="1" customWidth="1"/>
    <col min="12821" max="12827" width="12.54296875" style="244" bestFit="1" customWidth="1"/>
    <col min="12828" max="12828" width="9.1796875" style="244"/>
    <col min="12829" max="12830" width="9.7265625" style="244" bestFit="1" customWidth="1"/>
    <col min="12831" max="12831" width="13" style="244" bestFit="1" customWidth="1"/>
    <col min="12832" max="13049" width="9.1796875" style="244"/>
    <col min="13050" max="13050" width="3.26953125" style="244" customWidth="1"/>
    <col min="13051" max="13056" width="11" style="244" customWidth="1"/>
    <col min="13057" max="13057" width="2.453125" style="244" customWidth="1"/>
    <col min="13058" max="13058" width="4.81640625" style="244" customWidth="1"/>
    <col min="13059" max="13061" width="11" style="244" customWidth="1"/>
    <col min="13062" max="13062" width="2.453125" style="244" customWidth="1"/>
    <col min="13063" max="13063" width="9.54296875" style="244" customWidth="1"/>
    <col min="13064" max="13067" width="9" style="244" customWidth="1"/>
    <col min="13068" max="13068" width="6.26953125" style="244" customWidth="1"/>
    <col min="13069" max="13069" width="9" style="244" customWidth="1"/>
    <col min="13070" max="13070" width="4.26953125" style="244" customWidth="1"/>
    <col min="13071" max="13071" width="9.1796875" style="244"/>
    <col min="13072" max="13072" width="5.54296875" style="244" customWidth="1"/>
    <col min="13073" max="13075" width="9.1796875" style="244"/>
    <col min="13076" max="13076" width="9.81640625" style="244" bestFit="1" customWidth="1"/>
    <col min="13077" max="13083" width="12.54296875" style="244" bestFit="1" customWidth="1"/>
    <col min="13084" max="13084" width="9.1796875" style="244"/>
    <col min="13085" max="13086" width="9.7265625" style="244" bestFit="1" customWidth="1"/>
    <col min="13087" max="13087" width="13" style="244" bestFit="1" customWidth="1"/>
    <col min="13088" max="13305" width="9.1796875" style="244"/>
    <col min="13306" max="13306" width="3.26953125" style="244" customWidth="1"/>
    <col min="13307" max="13312" width="11" style="244" customWidth="1"/>
    <col min="13313" max="13313" width="2.453125" style="244" customWidth="1"/>
    <col min="13314" max="13314" width="4.81640625" style="244" customWidth="1"/>
    <col min="13315" max="13317" width="11" style="244" customWidth="1"/>
    <col min="13318" max="13318" width="2.453125" style="244" customWidth="1"/>
    <col min="13319" max="13319" width="9.54296875" style="244" customWidth="1"/>
    <col min="13320" max="13323" width="9" style="244" customWidth="1"/>
    <col min="13324" max="13324" width="6.26953125" style="244" customWidth="1"/>
    <col min="13325" max="13325" width="9" style="244" customWidth="1"/>
    <col min="13326" max="13326" width="4.26953125" style="244" customWidth="1"/>
    <col min="13327" max="13327" width="9.1796875" style="244"/>
    <col min="13328" max="13328" width="5.54296875" style="244" customWidth="1"/>
    <col min="13329" max="13331" width="9.1796875" style="244"/>
    <col min="13332" max="13332" width="9.81640625" style="244" bestFit="1" customWidth="1"/>
    <col min="13333" max="13339" width="12.54296875" style="244" bestFit="1" customWidth="1"/>
    <col min="13340" max="13340" width="9.1796875" style="244"/>
    <col min="13341" max="13342" width="9.7265625" style="244" bestFit="1" customWidth="1"/>
    <col min="13343" max="13343" width="13" style="244" bestFit="1" customWidth="1"/>
    <col min="13344" max="13561" width="9.1796875" style="244"/>
    <col min="13562" max="13562" width="3.26953125" style="244" customWidth="1"/>
    <col min="13563" max="13568" width="11" style="244" customWidth="1"/>
    <col min="13569" max="13569" width="2.453125" style="244" customWidth="1"/>
    <col min="13570" max="13570" width="4.81640625" style="244" customWidth="1"/>
    <col min="13571" max="13573" width="11" style="244" customWidth="1"/>
    <col min="13574" max="13574" width="2.453125" style="244" customWidth="1"/>
    <col min="13575" max="13575" width="9.54296875" style="244" customWidth="1"/>
    <col min="13576" max="13579" width="9" style="244" customWidth="1"/>
    <col min="13580" max="13580" width="6.26953125" style="244" customWidth="1"/>
    <col min="13581" max="13581" width="9" style="244" customWidth="1"/>
    <col min="13582" max="13582" width="4.26953125" style="244" customWidth="1"/>
    <col min="13583" max="13583" width="9.1796875" style="244"/>
    <col min="13584" max="13584" width="5.54296875" style="244" customWidth="1"/>
    <col min="13585" max="13587" width="9.1796875" style="244"/>
    <col min="13588" max="13588" width="9.81640625" style="244" bestFit="1" customWidth="1"/>
    <col min="13589" max="13595" width="12.54296875" style="244" bestFit="1" customWidth="1"/>
    <col min="13596" max="13596" width="9.1796875" style="244"/>
    <col min="13597" max="13598" width="9.7265625" style="244" bestFit="1" customWidth="1"/>
    <col min="13599" max="13599" width="13" style="244" bestFit="1" customWidth="1"/>
    <col min="13600" max="13817" width="9.1796875" style="244"/>
    <col min="13818" max="13818" width="3.26953125" style="244" customWidth="1"/>
    <col min="13819" max="13824" width="11" style="244" customWidth="1"/>
    <col min="13825" max="13825" width="2.453125" style="244" customWidth="1"/>
    <col min="13826" max="13826" width="4.81640625" style="244" customWidth="1"/>
    <col min="13827" max="13829" width="11" style="244" customWidth="1"/>
    <col min="13830" max="13830" width="2.453125" style="244" customWidth="1"/>
    <col min="13831" max="13831" width="9.54296875" style="244" customWidth="1"/>
    <col min="13832" max="13835" width="9" style="244" customWidth="1"/>
    <col min="13836" max="13836" width="6.26953125" style="244" customWidth="1"/>
    <col min="13837" max="13837" width="9" style="244" customWidth="1"/>
    <col min="13838" max="13838" width="4.26953125" style="244" customWidth="1"/>
    <col min="13839" max="13839" width="9.1796875" style="244"/>
    <col min="13840" max="13840" width="5.54296875" style="244" customWidth="1"/>
    <col min="13841" max="13843" width="9.1796875" style="244"/>
    <col min="13844" max="13844" width="9.81640625" style="244" bestFit="1" customWidth="1"/>
    <col min="13845" max="13851" width="12.54296875" style="244" bestFit="1" customWidth="1"/>
    <col min="13852" max="13852" width="9.1796875" style="244"/>
    <col min="13853" max="13854" width="9.7265625" style="244" bestFit="1" customWidth="1"/>
    <col min="13855" max="13855" width="13" style="244" bestFit="1" customWidth="1"/>
    <col min="13856" max="14073" width="9.1796875" style="244"/>
    <col min="14074" max="14074" width="3.26953125" style="244" customWidth="1"/>
    <col min="14075" max="14080" width="11" style="244" customWidth="1"/>
    <col min="14081" max="14081" width="2.453125" style="244" customWidth="1"/>
    <col min="14082" max="14082" width="4.81640625" style="244" customWidth="1"/>
    <col min="14083" max="14085" width="11" style="244" customWidth="1"/>
    <col min="14086" max="14086" width="2.453125" style="244" customWidth="1"/>
    <col min="14087" max="14087" width="9.54296875" style="244" customWidth="1"/>
    <col min="14088" max="14091" width="9" style="244" customWidth="1"/>
    <col min="14092" max="14092" width="6.26953125" style="244" customWidth="1"/>
    <col min="14093" max="14093" width="9" style="244" customWidth="1"/>
    <col min="14094" max="14094" width="4.26953125" style="244" customWidth="1"/>
    <col min="14095" max="14095" width="9.1796875" style="244"/>
    <col min="14096" max="14096" width="5.54296875" style="244" customWidth="1"/>
    <col min="14097" max="14099" width="9.1796875" style="244"/>
    <col min="14100" max="14100" width="9.81640625" style="244" bestFit="1" customWidth="1"/>
    <col min="14101" max="14107" width="12.54296875" style="244" bestFit="1" customWidth="1"/>
    <col min="14108" max="14108" width="9.1796875" style="244"/>
    <col min="14109" max="14110" width="9.7265625" style="244" bestFit="1" customWidth="1"/>
    <col min="14111" max="14111" width="13" style="244" bestFit="1" customWidth="1"/>
    <col min="14112" max="14329" width="9.1796875" style="244"/>
    <col min="14330" max="14330" width="3.26953125" style="244" customWidth="1"/>
    <col min="14331" max="14336" width="11" style="244" customWidth="1"/>
    <col min="14337" max="14337" width="2.453125" style="244" customWidth="1"/>
    <col min="14338" max="14338" width="4.81640625" style="244" customWidth="1"/>
    <col min="14339" max="14341" width="11" style="244" customWidth="1"/>
    <col min="14342" max="14342" width="2.453125" style="244" customWidth="1"/>
    <col min="14343" max="14343" width="9.54296875" style="244" customWidth="1"/>
    <col min="14344" max="14347" width="9" style="244" customWidth="1"/>
    <col min="14348" max="14348" width="6.26953125" style="244" customWidth="1"/>
    <col min="14349" max="14349" width="9" style="244" customWidth="1"/>
    <col min="14350" max="14350" width="4.26953125" style="244" customWidth="1"/>
    <col min="14351" max="14351" width="9.1796875" style="244"/>
    <col min="14352" max="14352" width="5.54296875" style="244" customWidth="1"/>
    <col min="14353" max="14355" width="9.1796875" style="244"/>
    <col min="14356" max="14356" width="9.81640625" style="244" bestFit="1" customWidth="1"/>
    <col min="14357" max="14363" width="12.54296875" style="244" bestFit="1" customWidth="1"/>
    <col min="14364" max="14364" width="9.1796875" style="244"/>
    <col min="14365" max="14366" width="9.7265625" style="244" bestFit="1" customWidth="1"/>
    <col min="14367" max="14367" width="13" style="244" bestFit="1" customWidth="1"/>
    <col min="14368" max="14585" width="9.1796875" style="244"/>
    <col min="14586" max="14586" width="3.26953125" style="244" customWidth="1"/>
    <col min="14587" max="14592" width="11" style="244" customWidth="1"/>
    <col min="14593" max="14593" width="2.453125" style="244" customWidth="1"/>
    <col min="14594" max="14594" width="4.81640625" style="244" customWidth="1"/>
    <col min="14595" max="14597" width="11" style="244" customWidth="1"/>
    <col min="14598" max="14598" width="2.453125" style="244" customWidth="1"/>
    <col min="14599" max="14599" width="9.54296875" style="244" customWidth="1"/>
    <col min="14600" max="14603" width="9" style="244" customWidth="1"/>
    <col min="14604" max="14604" width="6.26953125" style="244" customWidth="1"/>
    <col min="14605" max="14605" width="9" style="244" customWidth="1"/>
    <col min="14606" max="14606" width="4.26953125" style="244" customWidth="1"/>
    <col min="14607" max="14607" width="9.1796875" style="244"/>
    <col min="14608" max="14608" width="5.54296875" style="244" customWidth="1"/>
    <col min="14609" max="14611" width="9.1796875" style="244"/>
    <col min="14612" max="14612" width="9.81640625" style="244" bestFit="1" customWidth="1"/>
    <col min="14613" max="14619" width="12.54296875" style="244" bestFit="1" customWidth="1"/>
    <col min="14620" max="14620" width="9.1796875" style="244"/>
    <col min="14621" max="14622" width="9.7265625" style="244" bestFit="1" customWidth="1"/>
    <col min="14623" max="14623" width="13" style="244" bestFit="1" customWidth="1"/>
    <col min="14624" max="14841" width="9.1796875" style="244"/>
    <col min="14842" max="14842" width="3.26953125" style="244" customWidth="1"/>
    <col min="14843" max="14848" width="11" style="244" customWidth="1"/>
    <col min="14849" max="14849" width="2.453125" style="244" customWidth="1"/>
    <col min="14850" max="14850" width="4.81640625" style="244" customWidth="1"/>
    <col min="14851" max="14853" width="11" style="244" customWidth="1"/>
    <col min="14854" max="14854" width="2.453125" style="244" customWidth="1"/>
    <col min="14855" max="14855" width="9.54296875" style="244" customWidth="1"/>
    <col min="14856" max="14859" width="9" style="244" customWidth="1"/>
    <col min="14860" max="14860" width="6.26953125" style="244" customWidth="1"/>
    <col min="14861" max="14861" width="9" style="244" customWidth="1"/>
    <col min="14862" max="14862" width="4.26953125" style="244" customWidth="1"/>
    <col min="14863" max="14863" width="9.1796875" style="244"/>
    <col min="14864" max="14864" width="5.54296875" style="244" customWidth="1"/>
    <col min="14865" max="14867" width="9.1796875" style="244"/>
    <col min="14868" max="14868" width="9.81640625" style="244" bestFit="1" customWidth="1"/>
    <col min="14869" max="14875" width="12.54296875" style="244" bestFit="1" customWidth="1"/>
    <col min="14876" max="14876" width="9.1796875" style="244"/>
    <col min="14877" max="14878" width="9.7265625" style="244" bestFit="1" customWidth="1"/>
    <col min="14879" max="14879" width="13" style="244" bestFit="1" customWidth="1"/>
    <col min="14880" max="15097" width="9.1796875" style="244"/>
    <col min="15098" max="15098" width="3.26953125" style="244" customWidth="1"/>
    <col min="15099" max="15104" width="11" style="244" customWidth="1"/>
    <col min="15105" max="15105" width="2.453125" style="244" customWidth="1"/>
    <col min="15106" max="15106" width="4.81640625" style="244" customWidth="1"/>
    <col min="15107" max="15109" width="11" style="244" customWidth="1"/>
    <col min="15110" max="15110" width="2.453125" style="244" customWidth="1"/>
    <col min="15111" max="15111" width="9.54296875" style="244" customWidth="1"/>
    <col min="15112" max="15115" width="9" style="244" customWidth="1"/>
    <col min="15116" max="15116" width="6.26953125" style="244" customWidth="1"/>
    <col min="15117" max="15117" width="9" style="244" customWidth="1"/>
    <col min="15118" max="15118" width="4.26953125" style="244" customWidth="1"/>
    <col min="15119" max="15119" width="9.1796875" style="244"/>
    <col min="15120" max="15120" width="5.54296875" style="244" customWidth="1"/>
    <col min="15121" max="15123" width="9.1796875" style="244"/>
    <col min="15124" max="15124" width="9.81640625" style="244" bestFit="1" customWidth="1"/>
    <col min="15125" max="15131" width="12.54296875" style="244" bestFit="1" customWidth="1"/>
    <col min="15132" max="15132" width="9.1796875" style="244"/>
    <col min="15133" max="15134" width="9.7265625" style="244" bestFit="1" customWidth="1"/>
    <col min="15135" max="15135" width="13" style="244" bestFit="1" customWidth="1"/>
    <col min="15136" max="15353" width="9.1796875" style="244"/>
    <col min="15354" max="15354" width="3.26953125" style="244" customWidth="1"/>
    <col min="15355" max="15360" width="11" style="244" customWidth="1"/>
    <col min="15361" max="15361" width="2.453125" style="244" customWidth="1"/>
    <col min="15362" max="15362" width="4.81640625" style="244" customWidth="1"/>
    <col min="15363" max="15365" width="11" style="244" customWidth="1"/>
    <col min="15366" max="15366" width="2.453125" style="244" customWidth="1"/>
    <col min="15367" max="15367" width="9.54296875" style="244" customWidth="1"/>
    <col min="15368" max="15371" width="9" style="244" customWidth="1"/>
    <col min="15372" max="15372" width="6.26953125" style="244" customWidth="1"/>
    <col min="15373" max="15373" width="9" style="244" customWidth="1"/>
    <col min="15374" max="15374" width="4.26953125" style="244" customWidth="1"/>
    <col min="15375" max="15375" width="9.1796875" style="244"/>
    <col min="15376" max="15376" width="5.54296875" style="244" customWidth="1"/>
    <col min="15377" max="15379" width="9.1796875" style="244"/>
    <col min="15380" max="15380" width="9.81640625" style="244" bestFit="1" customWidth="1"/>
    <col min="15381" max="15387" width="12.54296875" style="244" bestFit="1" customWidth="1"/>
    <col min="15388" max="15388" width="9.1796875" style="244"/>
    <col min="15389" max="15390" width="9.7265625" style="244" bestFit="1" customWidth="1"/>
    <col min="15391" max="15391" width="13" style="244" bestFit="1" customWidth="1"/>
    <col min="15392" max="15609" width="9.1796875" style="244"/>
    <col min="15610" max="15610" width="3.26953125" style="244" customWidth="1"/>
    <col min="15611" max="15616" width="11" style="244" customWidth="1"/>
    <col min="15617" max="15617" width="2.453125" style="244" customWidth="1"/>
    <col min="15618" max="15618" width="4.81640625" style="244" customWidth="1"/>
    <col min="15619" max="15621" width="11" style="244" customWidth="1"/>
    <col min="15622" max="15622" width="2.453125" style="244" customWidth="1"/>
    <col min="15623" max="15623" width="9.54296875" style="244" customWidth="1"/>
    <col min="15624" max="15627" width="9" style="244" customWidth="1"/>
    <col min="15628" max="15628" width="6.26953125" style="244" customWidth="1"/>
    <col min="15629" max="15629" width="9" style="244" customWidth="1"/>
    <col min="15630" max="15630" width="4.26953125" style="244" customWidth="1"/>
    <col min="15631" max="15631" width="9.1796875" style="244"/>
    <col min="15632" max="15632" width="5.54296875" style="244" customWidth="1"/>
    <col min="15633" max="15635" width="9.1796875" style="244"/>
    <col min="15636" max="15636" width="9.81640625" style="244" bestFit="1" customWidth="1"/>
    <col min="15637" max="15643" width="12.54296875" style="244" bestFit="1" customWidth="1"/>
    <col min="15644" max="15644" width="9.1796875" style="244"/>
    <col min="15645" max="15646" width="9.7265625" style="244" bestFit="1" customWidth="1"/>
    <col min="15647" max="15647" width="13" style="244" bestFit="1" customWidth="1"/>
    <col min="15648" max="15865" width="9.1796875" style="244"/>
    <col min="15866" max="15866" width="3.26953125" style="244" customWidth="1"/>
    <col min="15867" max="15872" width="11" style="244" customWidth="1"/>
    <col min="15873" max="15873" width="2.453125" style="244" customWidth="1"/>
    <col min="15874" max="15874" width="4.81640625" style="244" customWidth="1"/>
    <col min="15875" max="15877" width="11" style="244" customWidth="1"/>
    <col min="15878" max="15878" width="2.453125" style="244" customWidth="1"/>
    <col min="15879" max="15879" width="9.54296875" style="244" customWidth="1"/>
    <col min="15880" max="15883" width="9" style="244" customWidth="1"/>
    <col min="15884" max="15884" width="6.26953125" style="244" customWidth="1"/>
    <col min="15885" max="15885" width="9" style="244" customWidth="1"/>
    <col min="15886" max="15886" width="4.26953125" style="244" customWidth="1"/>
    <col min="15887" max="15887" width="9.1796875" style="244"/>
    <col min="15888" max="15888" width="5.54296875" style="244" customWidth="1"/>
    <col min="15889" max="15891" width="9.1796875" style="244"/>
    <col min="15892" max="15892" width="9.81640625" style="244" bestFit="1" customWidth="1"/>
    <col min="15893" max="15899" width="12.54296875" style="244" bestFit="1" customWidth="1"/>
    <col min="15900" max="15900" width="9.1796875" style="244"/>
    <col min="15901" max="15902" width="9.7265625" style="244" bestFit="1" customWidth="1"/>
    <col min="15903" max="15903" width="13" style="244" bestFit="1" customWidth="1"/>
    <col min="15904" max="16121" width="9.1796875" style="244"/>
    <col min="16122" max="16122" width="3.26953125" style="244" customWidth="1"/>
    <col min="16123" max="16128" width="11" style="244" customWidth="1"/>
    <col min="16129" max="16129" width="2.453125" style="244" customWidth="1"/>
    <col min="16130" max="16130" width="4.81640625" style="244" customWidth="1"/>
    <col min="16131" max="16133" width="11" style="244" customWidth="1"/>
    <col min="16134" max="16134" width="2.453125" style="244" customWidth="1"/>
    <col min="16135" max="16135" width="9.54296875" style="244" customWidth="1"/>
    <col min="16136" max="16139" width="9" style="244" customWidth="1"/>
    <col min="16140" max="16140" width="6.26953125" style="244" customWidth="1"/>
    <col min="16141" max="16141" width="9" style="244" customWidth="1"/>
    <col min="16142" max="16142" width="4.26953125" style="244" customWidth="1"/>
    <col min="16143" max="16143" width="9.1796875" style="244"/>
    <col min="16144" max="16144" width="5.54296875" style="244" customWidth="1"/>
    <col min="16145" max="16147" width="9.1796875" style="244"/>
    <col min="16148" max="16148" width="9.81640625" style="244" bestFit="1" customWidth="1"/>
    <col min="16149" max="16155" width="12.54296875" style="244" bestFit="1" customWidth="1"/>
    <col min="16156" max="16156" width="9.1796875" style="244"/>
    <col min="16157" max="16158" width="9.7265625" style="244" bestFit="1" customWidth="1"/>
    <col min="16159" max="16159" width="13" style="244" bestFit="1" customWidth="1"/>
    <col min="16160" max="16384" width="9.1796875" style="244"/>
  </cols>
  <sheetData>
    <row r="1" spans="1:12" ht="13" thickBot="1" x14ac:dyDescent="0.3">
      <c r="B1" s="380" t="s">
        <v>393</v>
      </c>
      <c r="C1" s="380"/>
      <c r="D1" s="380"/>
      <c r="E1" s="380"/>
      <c r="F1" s="380"/>
      <c r="G1" s="380"/>
      <c r="I1" s="380" t="s">
        <v>392</v>
      </c>
      <c r="J1" s="380"/>
      <c r="K1" s="380"/>
      <c r="L1" s="380"/>
    </row>
    <row r="2" spans="1:12" s="277" customFormat="1" ht="13" thickBot="1" x14ac:dyDescent="0.3">
      <c r="B2" s="284">
        <v>0.25</v>
      </c>
      <c r="C2" s="280">
        <v>0.5</v>
      </c>
      <c r="D2" s="280">
        <v>0.75</v>
      </c>
      <c r="E2" s="283">
        <v>1</v>
      </c>
      <c r="F2" s="280">
        <v>1.25</v>
      </c>
      <c r="G2" s="282">
        <v>1.5</v>
      </c>
      <c r="I2" s="281">
        <v>0</v>
      </c>
      <c r="J2" s="280">
        <v>0.5</v>
      </c>
      <c r="K2" s="279">
        <v>1</v>
      </c>
      <c r="L2" s="278">
        <v>1.5</v>
      </c>
    </row>
    <row r="3" spans="1:12" s="277" customFormat="1" x14ac:dyDescent="0.25">
      <c r="A3" s="244">
        <v>1</v>
      </c>
      <c r="B3" s="255">
        <v>-0.20635842837701701</v>
      </c>
      <c r="C3" s="255">
        <v>-8.9873103856493802E-2</v>
      </c>
      <c r="D3" s="255">
        <v>0.57045070035877699</v>
      </c>
      <c r="E3" s="256">
        <v>-0.184051331445926</v>
      </c>
      <c r="F3" s="255">
        <v>-0.142177312815709</v>
      </c>
      <c r="G3" s="255">
        <v>-0.75094807473681602</v>
      </c>
      <c r="H3" s="244">
        <v>1</v>
      </c>
      <c r="I3" s="254"/>
      <c r="J3" s="276">
        <v>0</v>
      </c>
      <c r="K3" s="258">
        <v>1.2701170135723499E-4</v>
      </c>
      <c r="L3" s="257">
        <v>0</v>
      </c>
    </row>
    <row r="4" spans="1:12" x14ac:dyDescent="0.25">
      <c r="A4" s="244">
        <v>2</v>
      </c>
      <c r="B4" s="255">
        <f t="shared" ref="B4:G4" si="0">-B3</f>
        <v>0.20635842837701701</v>
      </c>
      <c r="C4" s="255">
        <f t="shared" si="0"/>
        <v>8.9873103856493802E-2</v>
      </c>
      <c r="D4" s="255">
        <f t="shared" si="0"/>
        <v>-0.57045070035877699</v>
      </c>
      <c r="E4" s="256">
        <f t="shared" si="0"/>
        <v>0.184051331445926</v>
      </c>
      <c r="F4" s="255">
        <f t="shared" si="0"/>
        <v>0.142177312815709</v>
      </c>
      <c r="G4" s="255">
        <f t="shared" si="0"/>
        <v>0.75094807473681602</v>
      </c>
      <c r="H4" s="244">
        <v>2</v>
      </c>
      <c r="I4" s="254"/>
      <c r="J4" s="276">
        <v>5.6665157562040404E-4</v>
      </c>
      <c r="K4" s="258">
        <v>0</v>
      </c>
      <c r="L4" s="257">
        <v>4.2236107117535798E-4</v>
      </c>
    </row>
    <row r="5" spans="1:12" x14ac:dyDescent="0.25">
      <c r="A5" s="244">
        <v>3</v>
      </c>
      <c r="B5" s="255">
        <v>0.160689369767641</v>
      </c>
      <c r="C5" s="255">
        <v>0.31418588549190202</v>
      </c>
      <c r="D5" s="255">
        <v>-2.15993316990356E-2</v>
      </c>
      <c r="E5" s="256">
        <v>0.30610846044781098</v>
      </c>
      <c r="F5" s="255">
        <v>0.17107225249791999</v>
      </c>
      <c r="G5" s="255">
        <v>0.42817411587238702</v>
      </c>
      <c r="H5" s="244">
        <v>3</v>
      </c>
      <c r="I5" s="254"/>
      <c r="J5" s="276">
        <v>8.4910717277450996E-4</v>
      </c>
      <c r="K5" s="258">
        <v>8.8344717654025105E-4</v>
      </c>
      <c r="L5" s="257">
        <v>8.0237784139265103E-4</v>
      </c>
    </row>
    <row r="6" spans="1:12" x14ac:dyDescent="0.25">
      <c r="A6" s="244">
        <v>4</v>
      </c>
      <c r="B6" s="255">
        <f t="shared" ref="B6:G6" si="1">-B5</f>
        <v>-0.160689369767641</v>
      </c>
      <c r="C6" s="255">
        <f t="shared" si="1"/>
        <v>-0.31418588549190202</v>
      </c>
      <c r="D6" s="255">
        <f t="shared" si="1"/>
        <v>2.15993316990356E-2</v>
      </c>
      <c r="E6" s="256">
        <f t="shared" si="1"/>
        <v>-0.30610846044781098</v>
      </c>
      <c r="F6" s="255">
        <f t="shared" si="1"/>
        <v>-0.17107225249791999</v>
      </c>
      <c r="G6" s="255">
        <f t="shared" si="1"/>
        <v>-0.42817411587238702</v>
      </c>
      <c r="H6" s="244">
        <v>4</v>
      </c>
      <c r="I6" s="254"/>
      <c r="J6" s="276">
        <v>0</v>
      </c>
      <c r="K6" s="258">
        <v>0</v>
      </c>
      <c r="L6" s="257">
        <v>0</v>
      </c>
    </row>
    <row r="7" spans="1:12" x14ac:dyDescent="0.25">
      <c r="A7" s="244">
        <v>5</v>
      </c>
      <c r="B7" s="255">
        <v>0.36097273745326902</v>
      </c>
      <c r="C7" s="255">
        <v>0.311006369527559</v>
      </c>
      <c r="D7" s="255">
        <v>-0.16755545271313299</v>
      </c>
      <c r="E7" s="256">
        <v>0.25962152882136502</v>
      </c>
      <c r="F7" s="255">
        <v>-0.28438653983552598</v>
      </c>
      <c r="G7" s="255">
        <v>0.21854556695901001</v>
      </c>
      <c r="H7" s="244">
        <v>5</v>
      </c>
      <c r="I7" s="254"/>
      <c r="J7" s="276">
        <v>1.16888850090587E-3</v>
      </c>
      <c r="K7" s="258">
        <v>8.7707246605236598E-4</v>
      </c>
      <c r="L7" s="257">
        <v>3.9205114808093801E-4</v>
      </c>
    </row>
    <row r="8" spans="1:12" x14ac:dyDescent="0.25">
      <c r="A8" s="244">
        <v>6</v>
      </c>
      <c r="B8" s="255">
        <f t="shared" ref="B8:G8" si="2">-B7</f>
        <v>-0.36097273745326902</v>
      </c>
      <c r="C8" s="255">
        <f t="shared" si="2"/>
        <v>-0.311006369527559</v>
      </c>
      <c r="D8" s="255">
        <f t="shared" si="2"/>
        <v>0.16755545271313299</v>
      </c>
      <c r="E8" s="256">
        <f t="shared" si="2"/>
        <v>-0.25962152882136502</v>
      </c>
      <c r="F8" s="255">
        <f t="shared" si="2"/>
        <v>0.28438653983552598</v>
      </c>
      <c r="G8" s="255">
        <f t="shared" si="2"/>
        <v>-0.21854556695901001</v>
      </c>
      <c r="H8" s="244">
        <v>6</v>
      </c>
      <c r="I8" s="254"/>
      <c r="J8" s="276">
        <v>0</v>
      </c>
      <c r="K8" s="258">
        <v>0</v>
      </c>
      <c r="L8" s="257">
        <v>0</v>
      </c>
    </row>
    <row r="9" spans="1:12" x14ac:dyDescent="0.25">
      <c r="A9" s="244">
        <v>7</v>
      </c>
      <c r="B9" s="255">
        <v>-0.42508812607954</v>
      </c>
      <c r="C9" s="255">
        <v>-0.59390567986030296</v>
      </c>
      <c r="D9" s="255">
        <v>0.18112286582504999</v>
      </c>
      <c r="E9" s="256">
        <v>-0.38589332926706299</v>
      </c>
      <c r="F9" s="255">
        <v>-0.18303884835871601</v>
      </c>
      <c r="G9" s="255">
        <v>0.90290893902347502</v>
      </c>
      <c r="H9" s="244">
        <v>7</v>
      </c>
      <c r="I9" s="254"/>
      <c r="J9" s="276">
        <v>0</v>
      </c>
      <c r="K9" s="258">
        <v>0</v>
      </c>
      <c r="L9" s="257">
        <v>0</v>
      </c>
    </row>
    <row r="10" spans="1:12" ht="14.25" customHeight="1" x14ac:dyDescent="0.25">
      <c r="A10" s="244">
        <v>8</v>
      </c>
      <c r="B10" s="255">
        <f t="shared" ref="B10:G10" si="3">-B9</f>
        <v>0.42508812607954</v>
      </c>
      <c r="C10" s="255">
        <f t="shared" si="3"/>
        <v>0.59390567986030296</v>
      </c>
      <c r="D10" s="255">
        <f t="shared" si="3"/>
        <v>-0.18112286582504999</v>
      </c>
      <c r="E10" s="256">
        <f t="shared" si="3"/>
        <v>0.38589332926706299</v>
      </c>
      <c r="F10" s="255">
        <f t="shared" si="3"/>
        <v>0.18303884835871601</v>
      </c>
      <c r="G10" s="255">
        <f t="shared" si="3"/>
        <v>-0.90290893902347502</v>
      </c>
      <c r="H10" s="244">
        <v>8</v>
      </c>
      <c r="I10" s="254"/>
      <c r="J10" s="276">
        <v>1.74168457734927E-3</v>
      </c>
      <c r="K10" s="258">
        <v>1.39742216909897E-3</v>
      </c>
      <c r="L10" s="257">
        <v>2.16191088733255E-4</v>
      </c>
    </row>
    <row r="11" spans="1:12" ht="12.75" customHeight="1" x14ac:dyDescent="0.25">
      <c r="G11" s="275"/>
      <c r="I11" s="274"/>
      <c r="J11" s="273"/>
      <c r="K11" s="273"/>
      <c r="L11" s="273"/>
    </row>
    <row r="12" spans="1:12" ht="13" x14ac:dyDescent="0.3">
      <c r="G12" s="272"/>
      <c r="I12" s="271"/>
      <c r="J12" s="270"/>
      <c r="K12" s="270"/>
      <c r="L12" s="270"/>
    </row>
    <row r="13" spans="1:12" x14ac:dyDescent="0.25">
      <c r="J13" s="245"/>
    </row>
    <row r="14" spans="1:12" ht="13" thickBot="1" x14ac:dyDescent="0.3"/>
    <row r="15" spans="1:12" ht="13" thickBot="1" x14ac:dyDescent="0.3">
      <c r="B15" s="269">
        <v>1.5</v>
      </c>
      <c r="C15" s="268">
        <v>1</v>
      </c>
      <c r="E15" s="252" t="s">
        <v>391</v>
      </c>
      <c r="F15" s="267">
        <v>1</v>
      </c>
      <c r="G15" s="266" t="s">
        <v>390</v>
      </c>
      <c r="H15" s="265">
        <v>1</v>
      </c>
    </row>
    <row r="16" spans="1:12" ht="13" thickBot="1" x14ac:dyDescent="0.3">
      <c r="B16" s="264" t="s">
        <v>389</v>
      </c>
      <c r="C16" s="263" t="s">
        <v>388</v>
      </c>
      <c r="D16" s="262" t="s">
        <v>387</v>
      </c>
      <c r="E16" s="260" t="s">
        <v>386</v>
      </c>
      <c r="F16" s="261" t="s">
        <v>385</v>
      </c>
      <c r="G16" s="260" t="s">
        <v>384</v>
      </c>
      <c r="H16" s="259" t="s">
        <v>383</v>
      </c>
    </row>
    <row r="17" spans="1:8" x14ac:dyDescent="0.25">
      <c r="A17" s="244">
        <v>1</v>
      </c>
      <c r="B17" s="257">
        <v>0</v>
      </c>
      <c r="C17" s="256">
        <v>-0.184051331445926</v>
      </c>
      <c r="D17" s="255">
        <f t="shared" ref="D17:D24" si="4">C17^2</f>
        <v>3.3874892607018113E-2</v>
      </c>
      <c r="E17" s="254">
        <f t="shared" ref="E17:E24" si="5">$E$26+$D$26*C17+$C$26*D17</f>
        <v>1.2789688440773681E-4</v>
      </c>
      <c r="F17" s="258">
        <v>1.2701170135723499E-4</v>
      </c>
      <c r="G17" s="252" t="str">
        <f t="shared" ref="G17:G24" si="6">IF(K3&gt;E17,"○","-")</f>
        <v>-</v>
      </c>
      <c r="H17" s="251">
        <f>B17</f>
        <v>0</v>
      </c>
    </row>
    <row r="18" spans="1:8" x14ac:dyDescent="0.25">
      <c r="A18" s="244">
        <v>2</v>
      </c>
      <c r="B18" s="257">
        <v>4.2236107117535798E-4</v>
      </c>
      <c r="C18" s="256">
        <f>-C17</f>
        <v>0.184051331445926</v>
      </c>
      <c r="D18" s="255">
        <f t="shared" si="4"/>
        <v>3.3874892607018113E-2</v>
      </c>
      <c r="E18" s="254">
        <f t="shared" si="5"/>
        <v>4.0007815694405964E-4</v>
      </c>
      <c r="F18" s="258">
        <v>0</v>
      </c>
      <c r="G18" s="252" t="str">
        <f t="shared" si="6"/>
        <v>-</v>
      </c>
      <c r="H18" s="251">
        <f>B18</f>
        <v>4.2236107117535798E-4</v>
      </c>
    </row>
    <row r="19" spans="1:8" x14ac:dyDescent="0.25">
      <c r="A19" s="244">
        <v>3</v>
      </c>
      <c r="B19" s="257">
        <v>8.0237784139265103E-4</v>
      </c>
      <c r="C19" s="256">
        <v>0.30610846044781098</v>
      </c>
      <c r="D19" s="255">
        <f t="shared" si="4"/>
        <v>9.3702389557729054E-2</v>
      </c>
      <c r="E19" s="254">
        <f t="shared" si="5"/>
        <v>4.5029217362241357E-4</v>
      </c>
      <c r="F19" s="258">
        <v>8.8344717654025105E-4</v>
      </c>
      <c r="G19" s="252" t="str">
        <f t="shared" si="6"/>
        <v>○</v>
      </c>
      <c r="H19" s="251">
        <v>8.8344717654025105E-4</v>
      </c>
    </row>
    <row r="20" spans="1:8" x14ac:dyDescent="0.25">
      <c r="A20" s="244">
        <v>4</v>
      </c>
      <c r="B20" s="257">
        <v>0</v>
      </c>
      <c r="C20" s="256">
        <f>-C19</f>
        <v>-0.30610846044781098</v>
      </c>
      <c r="D20" s="255">
        <f t="shared" si="4"/>
        <v>9.3702389557729054E-2</v>
      </c>
      <c r="E20" s="254">
        <f t="shared" si="5"/>
        <v>-2.3912687861420503E-6</v>
      </c>
      <c r="F20" s="258">
        <v>0</v>
      </c>
      <c r="G20" s="252" t="str">
        <f t="shared" si="6"/>
        <v>○</v>
      </c>
      <c r="H20" s="251">
        <v>0</v>
      </c>
    </row>
    <row r="21" spans="1:8" x14ac:dyDescent="0.25">
      <c r="A21" s="244">
        <v>5</v>
      </c>
      <c r="B21" s="257">
        <v>3.9205114808093801E-4</v>
      </c>
      <c r="C21" s="256">
        <v>0.25962152882136502</v>
      </c>
      <c r="D21" s="255">
        <f t="shared" si="4"/>
        <v>6.7403338227542867E-2</v>
      </c>
      <c r="E21" s="254">
        <f t="shared" si="5"/>
        <v>4.3351850613918984E-4</v>
      </c>
      <c r="F21" s="258">
        <v>8.7707246605236598E-4</v>
      </c>
      <c r="G21" s="252" t="str">
        <f t="shared" si="6"/>
        <v>○</v>
      </c>
      <c r="H21" s="251">
        <v>8.7707246605236598E-4</v>
      </c>
    </row>
    <row r="22" spans="1:8" x14ac:dyDescent="0.25">
      <c r="A22" s="244">
        <v>6</v>
      </c>
      <c r="B22" s="257">
        <v>0</v>
      </c>
      <c r="C22" s="256">
        <f>-C21</f>
        <v>-0.25962152882136502</v>
      </c>
      <c r="D22" s="255">
        <f t="shared" si="4"/>
        <v>6.7403338227542867E-2</v>
      </c>
      <c r="E22" s="254">
        <f t="shared" si="5"/>
        <v>4.9581494995177807E-5</v>
      </c>
      <c r="F22" s="258">
        <v>0</v>
      </c>
      <c r="G22" s="252" t="str">
        <f t="shared" si="6"/>
        <v>-</v>
      </c>
      <c r="H22" s="251">
        <v>0</v>
      </c>
    </row>
    <row r="23" spans="1:8" x14ac:dyDescent="0.25">
      <c r="A23" s="244">
        <v>7</v>
      </c>
      <c r="B23" s="257">
        <v>0</v>
      </c>
      <c r="C23" s="256">
        <v>-0.38589332926706299</v>
      </c>
      <c r="D23" s="255">
        <f t="shared" si="4"/>
        <v>0.14891366157281791</v>
      </c>
      <c r="E23" s="254">
        <f t="shared" si="5"/>
        <v>-9.8333388115204683E-5</v>
      </c>
      <c r="F23" s="258">
        <v>0</v>
      </c>
      <c r="G23" s="252" t="str">
        <f t="shared" si="6"/>
        <v>○</v>
      </c>
      <c r="H23" s="251">
        <v>0</v>
      </c>
    </row>
    <row r="24" spans="1:8" x14ac:dyDescent="0.25">
      <c r="A24" s="244">
        <v>8</v>
      </c>
      <c r="B24" s="257">
        <v>2.16191088733255E-4</v>
      </c>
      <c r="C24" s="256">
        <f>-C23</f>
        <v>0.38589332926706299</v>
      </c>
      <c r="D24" s="255">
        <f t="shared" si="4"/>
        <v>0.14891366157281791</v>
      </c>
      <c r="E24" s="254">
        <f t="shared" si="5"/>
        <v>4.7233859017497095E-4</v>
      </c>
      <c r="F24" s="253">
        <v>1.39742216909897E-3</v>
      </c>
      <c r="G24" s="252" t="str">
        <f t="shared" si="6"/>
        <v>○</v>
      </c>
      <c r="H24" s="251">
        <v>1.39742216909897E-3</v>
      </c>
    </row>
    <row r="25" spans="1:8" ht="13" thickBot="1" x14ac:dyDescent="0.3">
      <c r="B25" s="249"/>
      <c r="C25" s="250" t="s">
        <v>382</v>
      </c>
      <c r="D25" s="250" t="s">
        <v>381</v>
      </c>
      <c r="E25" s="250" t="s">
        <v>380</v>
      </c>
      <c r="G25" s="249"/>
      <c r="H25" s="248"/>
    </row>
    <row r="26" spans="1:8" x14ac:dyDescent="0.25">
      <c r="B26" s="247" t="s">
        <v>379</v>
      </c>
      <c r="C26" s="246">
        <f t="array" ref="C26:E26">LINEST(B17:B24,C17:D24)</f>
        <v>-6.6920847935101008E-4</v>
      </c>
      <c r="D26" s="246">
        <v>7.3941674422575211E-4</v>
      </c>
      <c r="E26" s="246">
        <v>2.8665688604561957E-4</v>
      </c>
    </row>
    <row r="27" spans="1:8" x14ac:dyDescent="0.25">
      <c r="C27" s="245" t="s">
        <v>378</v>
      </c>
    </row>
  </sheetData>
  <mergeCells count="2">
    <mergeCell ref="B1:G1"/>
    <mergeCell ref="I1:L1"/>
  </mergeCells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"/>
  <dimension ref="A1:L27"/>
  <sheetViews>
    <sheetView zoomScaleNormal="100" workbookViewId="0"/>
  </sheetViews>
  <sheetFormatPr defaultRowHeight="12.5" x14ac:dyDescent="0.25"/>
  <cols>
    <col min="1" max="1" width="3.26953125" style="244" customWidth="1"/>
    <col min="2" max="8" width="9.1796875" style="244" customWidth="1"/>
    <col min="9" max="9" width="2.453125" style="244" customWidth="1"/>
    <col min="10" max="12" width="9.1796875" style="244" customWidth="1"/>
    <col min="13" max="13" width="2.453125" style="244" customWidth="1"/>
    <col min="14" max="14" width="9.54296875" style="244" customWidth="1"/>
    <col min="15" max="16" width="9" style="244" customWidth="1"/>
    <col min="17" max="17" width="9.26953125" style="244" customWidth="1"/>
    <col min="18" max="18" width="9" style="244" customWidth="1"/>
    <col min="19" max="19" width="6.26953125" style="244" customWidth="1"/>
    <col min="20" max="20" width="9" style="244" customWidth="1"/>
    <col min="21" max="21" width="9.81640625" style="244" bestFit="1" customWidth="1"/>
    <col min="22" max="28" width="12.54296875" style="244" bestFit="1" customWidth="1"/>
    <col min="29" max="29" width="9.1796875" style="244"/>
    <col min="30" max="31" width="9.7265625" style="244" bestFit="1" customWidth="1"/>
    <col min="32" max="32" width="13" style="244" bestFit="1" customWidth="1"/>
    <col min="33" max="250" width="9.1796875" style="244"/>
    <col min="251" max="251" width="3.26953125" style="244" customWidth="1"/>
    <col min="252" max="257" width="11" style="244" customWidth="1"/>
    <col min="258" max="258" width="2.453125" style="244" customWidth="1"/>
    <col min="259" max="259" width="4.81640625" style="244" customWidth="1"/>
    <col min="260" max="262" width="11" style="244" customWidth="1"/>
    <col min="263" max="263" width="2.453125" style="244" customWidth="1"/>
    <col min="264" max="264" width="9.54296875" style="244" customWidth="1"/>
    <col min="265" max="266" width="9" style="244" customWidth="1"/>
    <col min="267" max="267" width="9.26953125" style="244" customWidth="1"/>
    <col min="268" max="268" width="9" style="244" customWidth="1"/>
    <col min="269" max="269" width="6.26953125" style="244" customWidth="1"/>
    <col min="270" max="270" width="9" style="244" customWidth="1"/>
    <col min="271" max="271" width="2.453125" style="244" customWidth="1"/>
    <col min="272" max="274" width="8.7265625" style="244" customWidth="1"/>
    <col min="275" max="275" width="9.54296875" style="244" customWidth="1"/>
    <col min="276" max="276" width="10.26953125" style="244" bestFit="1" customWidth="1"/>
    <col min="277" max="277" width="9.81640625" style="244" bestFit="1" customWidth="1"/>
    <col min="278" max="284" width="12.54296875" style="244" bestFit="1" customWidth="1"/>
    <col min="285" max="285" width="9.1796875" style="244"/>
    <col min="286" max="287" width="9.7265625" style="244" bestFit="1" customWidth="1"/>
    <col min="288" max="288" width="13" style="244" bestFit="1" customWidth="1"/>
    <col min="289" max="506" width="9.1796875" style="244"/>
    <col min="507" max="507" width="3.26953125" style="244" customWidth="1"/>
    <col min="508" max="513" width="11" style="244" customWidth="1"/>
    <col min="514" max="514" width="2.453125" style="244" customWidth="1"/>
    <col min="515" max="515" width="4.81640625" style="244" customWidth="1"/>
    <col min="516" max="518" width="11" style="244" customWidth="1"/>
    <col min="519" max="519" width="2.453125" style="244" customWidth="1"/>
    <col min="520" max="520" width="9.54296875" style="244" customWidth="1"/>
    <col min="521" max="522" width="9" style="244" customWidth="1"/>
    <col min="523" max="523" width="9.26953125" style="244" customWidth="1"/>
    <col min="524" max="524" width="9" style="244" customWidth="1"/>
    <col min="525" max="525" width="6.26953125" style="244" customWidth="1"/>
    <col min="526" max="526" width="9" style="244" customWidth="1"/>
    <col min="527" max="527" width="2.453125" style="244" customWidth="1"/>
    <col min="528" max="530" width="8.7265625" style="244" customWidth="1"/>
    <col min="531" max="531" width="9.54296875" style="244" customWidth="1"/>
    <col min="532" max="532" width="10.26953125" style="244" bestFit="1" customWidth="1"/>
    <col min="533" max="533" width="9.81640625" style="244" bestFit="1" customWidth="1"/>
    <col min="534" max="540" width="12.54296875" style="244" bestFit="1" customWidth="1"/>
    <col min="541" max="541" width="9.1796875" style="244"/>
    <col min="542" max="543" width="9.7265625" style="244" bestFit="1" customWidth="1"/>
    <col min="544" max="544" width="13" style="244" bestFit="1" customWidth="1"/>
    <col min="545" max="762" width="9.1796875" style="244"/>
    <col min="763" max="763" width="3.26953125" style="244" customWidth="1"/>
    <col min="764" max="769" width="11" style="244" customWidth="1"/>
    <col min="770" max="770" width="2.453125" style="244" customWidth="1"/>
    <col min="771" max="771" width="4.81640625" style="244" customWidth="1"/>
    <col min="772" max="774" width="11" style="244" customWidth="1"/>
    <col min="775" max="775" width="2.453125" style="244" customWidth="1"/>
    <col min="776" max="776" width="9.54296875" style="244" customWidth="1"/>
    <col min="777" max="778" width="9" style="244" customWidth="1"/>
    <col min="779" max="779" width="9.26953125" style="244" customWidth="1"/>
    <col min="780" max="780" width="9" style="244" customWidth="1"/>
    <col min="781" max="781" width="6.26953125" style="244" customWidth="1"/>
    <col min="782" max="782" width="9" style="244" customWidth="1"/>
    <col min="783" max="783" width="2.453125" style="244" customWidth="1"/>
    <col min="784" max="786" width="8.7265625" style="244" customWidth="1"/>
    <col min="787" max="787" width="9.54296875" style="244" customWidth="1"/>
    <col min="788" max="788" width="10.26953125" style="244" bestFit="1" customWidth="1"/>
    <col min="789" max="789" width="9.81640625" style="244" bestFit="1" customWidth="1"/>
    <col min="790" max="796" width="12.54296875" style="244" bestFit="1" customWidth="1"/>
    <col min="797" max="797" width="9.1796875" style="244"/>
    <col min="798" max="799" width="9.7265625" style="244" bestFit="1" customWidth="1"/>
    <col min="800" max="800" width="13" style="244" bestFit="1" customWidth="1"/>
    <col min="801" max="1018" width="9.1796875" style="244"/>
    <col min="1019" max="1019" width="3.26953125" style="244" customWidth="1"/>
    <col min="1020" max="1025" width="11" style="244" customWidth="1"/>
    <col min="1026" max="1026" width="2.453125" style="244" customWidth="1"/>
    <col min="1027" max="1027" width="4.81640625" style="244" customWidth="1"/>
    <col min="1028" max="1030" width="11" style="244" customWidth="1"/>
    <col min="1031" max="1031" width="2.453125" style="244" customWidth="1"/>
    <col min="1032" max="1032" width="9.54296875" style="244" customWidth="1"/>
    <col min="1033" max="1034" width="9" style="244" customWidth="1"/>
    <col min="1035" max="1035" width="9.26953125" style="244" customWidth="1"/>
    <col min="1036" max="1036" width="9" style="244" customWidth="1"/>
    <col min="1037" max="1037" width="6.26953125" style="244" customWidth="1"/>
    <col min="1038" max="1038" width="9" style="244" customWidth="1"/>
    <col min="1039" max="1039" width="2.453125" style="244" customWidth="1"/>
    <col min="1040" max="1042" width="8.7265625" style="244" customWidth="1"/>
    <col min="1043" max="1043" width="9.54296875" style="244" customWidth="1"/>
    <col min="1044" max="1044" width="10.26953125" style="244" bestFit="1" customWidth="1"/>
    <col min="1045" max="1045" width="9.81640625" style="244" bestFit="1" customWidth="1"/>
    <col min="1046" max="1052" width="12.54296875" style="244" bestFit="1" customWidth="1"/>
    <col min="1053" max="1053" width="9.1796875" style="244"/>
    <col min="1054" max="1055" width="9.7265625" style="244" bestFit="1" customWidth="1"/>
    <col min="1056" max="1056" width="13" style="244" bestFit="1" customWidth="1"/>
    <col min="1057" max="1274" width="9.1796875" style="244"/>
    <col min="1275" max="1275" width="3.26953125" style="244" customWidth="1"/>
    <col min="1276" max="1281" width="11" style="244" customWidth="1"/>
    <col min="1282" max="1282" width="2.453125" style="244" customWidth="1"/>
    <col min="1283" max="1283" width="4.81640625" style="244" customWidth="1"/>
    <col min="1284" max="1286" width="11" style="244" customWidth="1"/>
    <col min="1287" max="1287" width="2.453125" style="244" customWidth="1"/>
    <col min="1288" max="1288" width="9.54296875" style="244" customWidth="1"/>
    <col min="1289" max="1290" width="9" style="244" customWidth="1"/>
    <col min="1291" max="1291" width="9.26953125" style="244" customWidth="1"/>
    <col min="1292" max="1292" width="9" style="244" customWidth="1"/>
    <col min="1293" max="1293" width="6.26953125" style="244" customWidth="1"/>
    <col min="1294" max="1294" width="9" style="244" customWidth="1"/>
    <col min="1295" max="1295" width="2.453125" style="244" customWidth="1"/>
    <col min="1296" max="1298" width="8.7265625" style="244" customWidth="1"/>
    <col min="1299" max="1299" width="9.54296875" style="244" customWidth="1"/>
    <col min="1300" max="1300" width="10.26953125" style="244" bestFit="1" customWidth="1"/>
    <col min="1301" max="1301" width="9.81640625" style="244" bestFit="1" customWidth="1"/>
    <col min="1302" max="1308" width="12.54296875" style="244" bestFit="1" customWidth="1"/>
    <col min="1309" max="1309" width="9.1796875" style="244"/>
    <col min="1310" max="1311" width="9.7265625" style="244" bestFit="1" customWidth="1"/>
    <col min="1312" max="1312" width="13" style="244" bestFit="1" customWidth="1"/>
    <col min="1313" max="1530" width="9.1796875" style="244"/>
    <col min="1531" max="1531" width="3.26953125" style="244" customWidth="1"/>
    <col min="1532" max="1537" width="11" style="244" customWidth="1"/>
    <col min="1538" max="1538" width="2.453125" style="244" customWidth="1"/>
    <col min="1539" max="1539" width="4.81640625" style="244" customWidth="1"/>
    <col min="1540" max="1542" width="11" style="244" customWidth="1"/>
    <col min="1543" max="1543" width="2.453125" style="244" customWidth="1"/>
    <col min="1544" max="1544" width="9.54296875" style="244" customWidth="1"/>
    <col min="1545" max="1546" width="9" style="244" customWidth="1"/>
    <col min="1547" max="1547" width="9.26953125" style="244" customWidth="1"/>
    <col min="1548" max="1548" width="9" style="244" customWidth="1"/>
    <col min="1549" max="1549" width="6.26953125" style="244" customWidth="1"/>
    <col min="1550" max="1550" width="9" style="244" customWidth="1"/>
    <col min="1551" max="1551" width="2.453125" style="244" customWidth="1"/>
    <col min="1552" max="1554" width="8.7265625" style="244" customWidth="1"/>
    <col min="1555" max="1555" width="9.54296875" style="244" customWidth="1"/>
    <col min="1556" max="1556" width="10.26953125" style="244" bestFit="1" customWidth="1"/>
    <col min="1557" max="1557" width="9.81640625" style="244" bestFit="1" customWidth="1"/>
    <col min="1558" max="1564" width="12.54296875" style="244" bestFit="1" customWidth="1"/>
    <col min="1565" max="1565" width="9.1796875" style="244"/>
    <col min="1566" max="1567" width="9.7265625" style="244" bestFit="1" customWidth="1"/>
    <col min="1568" max="1568" width="13" style="244" bestFit="1" customWidth="1"/>
    <col min="1569" max="1786" width="9.1796875" style="244"/>
    <col min="1787" max="1787" width="3.26953125" style="244" customWidth="1"/>
    <col min="1788" max="1793" width="11" style="244" customWidth="1"/>
    <col min="1794" max="1794" width="2.453125" style="244" customWidth="1"/>
    <col min="1795" max="1795" width="4.81640625" style="244" customWidth="1"/>
    <col min="1796" max="1798" width="11" style="244" customWidth="1"/>
    <col min="1799" max="1799" width="2.453125" style="244" customWidth="1"/>
    <col min="1800" max="1800" width="9.54296875" style="244" customWidth="1"/>
    <col min="1801" max="1802" width="9" style="244" customWidth="1"/>
    <col min="1803" max="1803" width="9.26953125" style="244" customWidth="1"/>
    <col min="1804" max="1804" width="9" style="244" customWidth="1"/>
    <col min="1805" max="1805" width="6.26953125" style="244" customWidth="1"/>
    <col min="1806" max="1806" width="9" style="244" customWidth="1"/>
    <col min="1807" max="1807" width="2.453125" style="244" customWidth="1"/>
    <col min="1808" max="1810" width="8.7265625" style="244" customWidth="1"/>
    <col min="1811" max="1811" width="9.54296875" style="244" customWidth="1"/>
    <col min="1812" max="1812" width="10.26953125" style="244" bestFit="1" customWidth="1"/>
    <col min="1813" max="1813" width="9.81640625" style="244" bestFit="1" customWidth="1"/>
    <col min="1814" max="1820" width="12.54296875" style="244" bestFit="1" customWidth="1"/>
    <col min="1821" max="1821" width="9.1796875" style="244"/>
    <col min="1822" max="1823" width="9.7265625" style="244" bestFit="1" customWidth="1"/>
    <col min="1824" max="1824" width="13" style="244" bestFit="1" customWidth="1"/>
    <col min="1825" max="2042" width="9.1796875" style="244"/>
    <col min="2043" max="2043" width="3.26953125" style="244" customWidth="1"/>
    <col min="2044" max="2049" width="11" style="244" customWidth="1"/>
    <col min="2050" max="2050" width="2.453125" style="244" customWidth="1"/>
    <col min="2051" max="2051" width="4.81640625" style="244" customWidth="1"/>
    <col min="2052" max="2054" width="11" style="244" customWidth="1"/>
    <col min="2055" max="2055" width="2.453125" style="244" customWidth="1"/>
    <col min="2056" max="2056" width="9.54296875" style="244" customWidth="1"/>
    <col min="2057" max="2058" width="9" style="244" customWidth="1"/>
    <col min="2059" max="2059" width="9.26953125" style="244" customWidth="1"/>
    <col min="2060" max="2060" width="9" style="244" customWidth="1"/>
    <col min="2061" max="2061" width="6.26953125" style="244" customWidth="1"/>
    <col min="2062" max="2062" width="9" style="244" customWidth="1"/>
    <col min="2063" max="2063" width="2.453125" style="244" customWidth="1"/>
    <col min="2064" max="2066" width="8.7265625" style="244" customWidth="1"/>
    <col min="2067" max="2067" width="9.54296875" style="244" customWidth="1"/>
    <col min="2068" max="2068" width="10.26953125" style="244" bestFit="1" customWidth="1"/>
    <col min="2069" max="2069" width="9.81640625" style="244" bestFit="1" customWidth="1"/>
    <col min="2070" max="2076" width="12.54296875" style="244" bestFit="1" customWidth="1"/>
    <col min="2077" max="2077" width="9.1796875" style="244"/>
    <col min="2078" max="2079" width="9.7265625" style="244" bestFit="1" customWidth="1"/>
    <col min="2080" max="2080" width="13" style="244" bestFit="1" customWidth="1"/>
    <col min="2081" max="2298" width="9.1796875" style="244"/>
    <col min="2299" max="2299" width="3.26953125" style="244" customWidth="1"/>
    <col min="2300" max="2305" width="11" style="244" customWidth="1"/>
    <col min="2306" max="2306" width="2.453125" style="244" customWidth="1"/>
    <col min="2307" max="2307" width="4.81640625" style="244" customWidth="1"/>
    <col min="2308" max="2310" width="11" style="244" customWidth="1"/>
    <col min="2311" max="2311" width="2.453125" style="244" customWidth="1"/>
    <col min="2312" max="2312" width="9.54296875" style="244" customWidth="1"/>
    <col min="2313" max="2314" width="9" style="244" customWidth="1"/>
    <col min="2315" max="2315" width="9.26953125" style="244" customWidth="1"/>
    <col min="2316" max="2316" width="9" style="244" customWidth="1"/>
    <col min="2317" max="2317" width="6.26953125" style="244" customWidth="1"/>
    <col min="2318" max="2318" width="9" style="244" customWidth="1"/>
    <col min="2319" max="2319" width="2.453125" style="244" customWidth="1"/>
    <col min="2320" max="2322" width="8.7265625" style="244" customWidth="1"/>
    <col min="2323" max="2323" width="9.54296875" style="244" customWidth="1"/>
    <col min="2324" max="2324" width="10.26953125" style="244" bestFit="1" customWidth="1"/>
    <col min="2325" max="2325" width="9.81640625" style="244" bestFit="1" customWidth="1"/>
    <col min="2326" max="2332" width="12.54296875" style="244" bestFit="1" customWidth="1"/>
    <col min="2333" max="2333" width="9.1796875" style="244"/>
    <col min="2334" max="2335" width="9.7265625" style="244" bestFit="1" customWidth="1"/>
    <col min="2336" max="2336" width="13" style="244" bestFit="1" customWidth="1"/>
    <col min="2337" max="2554" width="9.1796875" style="244"/>
    <col min="2555" max="2555" width="3.26953125" style="244" customWidth="1"/>
    <col min="2556" max="2561" width="11" style="244" customWidth="1"/>
    <col min="2562" max="2562" width="2.453125" style="244" customWidth="1"/>
    <col min="2563" max="2563" width="4.81640625" style="244" customWidth="1"/>
    <col min="2564" max="2566" width="11" style="244" customWidth="1"/>
    <col min="2567" max="2567" width="2.453125" style="244" customWidth="1"/>
    <col min="2568" max="2568" width="9.54296875" style="244" customWidth="1"/>
    <col min="2569" max="2570" width="9" style="244" customWidth="1"/>
    <col min="2571" max="2571" width="9.26953125" style="244" customWidth="1"/>
    <col min="2572" max="2572" width="9" style="244" customWidth="1"/>
    <col min="2573" max="2573" width="6.26953125" style="244" customWidth="1"/>
    <col min="2574" max="2574" width="9" style="244" customWidth="1"/>
    <col min="2575" max="2575" width="2.453125" style="244" customWidth="1"/>
    <col min="2576" max="2578" width="8.7265625" style="244" customWidth="1"/>
    <col min="2579" max="2579" width="9.54296875" style="244" customWidth="1"/>
    <col min="2580" max="2580" width="10.26953125" style="244" bestFit="1" customWidth="1"/>
    <col min="2581" max="2581" width="9.81640625" style="244" bestFit="1" customWidth="1"/>
    <col min="2582" max="2588" width="12.54296875" style="244" bestFit="1" customWidth="1"/>
    <col min="2589" max="2589" width="9.1796875" style="244"/>
    <col min="2590" max="2591" width="9.7265625" style="244" bestFit="1" customWidth="1"/>
    <col min="2592" max="2592" width="13" style="244" bestFit="1" customWidth="1"/>
    <col min="2593" max="2810" width="9.1796875" style="244"/>
    <col min="2811" max="2811" width="3.26953125" style="244" customWidth="1"/>
    <col min="2812" max="2817" width="11" style="244" customWidth="1"/>
    <col min="2818" max="2818" width="2.453125" style="244" customWidth="1"/>
    <col min="2819" max="2819" width="4.81640625" style="244" customWidth="1"/>
    <col min="2820" max="2822" width="11" style="244" customWidth="1"/>
    <col min="2823" max="2823" width="2.453125" style="244" customWidth="1"/>
    <col min="2824" max="2824" width="9.54296875" style="244" customWidth="1"/>
    <col min="2825" max="2826" width="9" style="244" customWidth="1"/>
    <col min="2827" max="2827" width="9.26953125" style="244" customWidth="1"/>
    <col min="2828" max="2828" width="9" style="244" customWidth="1"/>
    <col min="2829" max="2829" width="6.26953125" style="244" customWidth="1"/>
    <col min="2830" max="2830" width="9" style="244" customWidth="1"/>
    <col min="2831" max="2831" width="2.453125" style="244" customWidth="1"/>
    <col min="2832" max="2834" width="8.7265625" style="244" customWidth="1"/>
    <col min="2835" max="2835" width="9.54296875" style="244" customWidth="1"/>
    <col min="2836" max="2836" width="10.26953125" style="244" bestFit="1" customWidth="1"/>
    <col min="2837" max="2837" width="9.81640625" style="244" bestFit="1" customWidth="1"/>
    <col min="2838" max="2844" width="12.54296875" style="244" bestFit="1" customWidth="1"/>
    <col min="2845" max="2845" width="9.1796875" style="244"/>
    <col min="2846" max="2847" width="9.7265625" style="244" bestFit="1" customWidth="1"/>
    <col min="2848" max="2848" width="13" style="244" bestFit="1" customWidth="1"/>
    <col min="2849" max="3066" width="9.1796875" style="244"/>
    <col min="3067" max="3067" width="3.26953125" style="244" customWidth="1"/>
    <col min="3068" max="3073" width="11" style="244" customWidth="1"/>
    <col min="3074" max="3074" width="2.453125" style="244" customWidth="1"/>
    <col min="3075" max="3075" width="4.81640625" style="244" customWidth="1"/>
    <col min="3076" max="3078" width="11" style="244" customWidth="1"/>
    <col min="3079" max="3079" width="2.453125" style="244" customWidth="1"/>
    <col min="3080" max="3080" width="9.54296875" style="244" customWidth="1"/>
    <col min="3081" max="3082" width="9" style="244" customWidth="1"/>
    <col min="3083" max="3083" width="9.26953125" style="244" customWidth="1"/>
    <col min="3084" max="3084" width="9" style="244" customWidth="1"/>
    <col min="3085" max="3085" width="6.26953125" style="244" customWidth="1"/>
    <col min="3086" max="3086" width="9" style="244" customWidth="1"/>
    <col min="3087" max="3087" width="2.453125" style="244" customWidth="1"/>
    <col min="3088" max="3090" width="8.7265625" style="244" customWidth="1"/>
    <col min="3091" max="3091" width="9.54296875" style="244" customWidth="1"/>
    <col min="3092" max="3092" width="10.26953125" style="244" bestFit="1" customWidth="1"/>
    <col min="3093" max="3093" width="9.81640625" style="244" bestFit="1" customWidth="1"/>
    <col min="3094" max="3100" width="12.54296875" style="244" bestFit="1" customWidth="1"/>
    <col min="3101" max="3101" width="9.1796875" style="244"/>
    <col min="3102" max="3103" width="9.7265625" style="244" bestFit="1" customWidth="1"/>
    <col min="3104" max="3104" width="13" style="244" bestFit="1" customWidth="1"/>
    <col min="3105" max="3322" width="9.1796875" style="244"/>
    <col min="3323" max="3323" width="3.26953125" style="244" customWidth="1"/>
    <col min="3324" max="3329" width="11" style="244" customWidth="1"/>
    <col min="3330" max="3330" width="2.453125" style="244" customWidth="1"/>
    <col min="3331" max="3331" width="4.81640625" style="244" customWidth="1"/>
    <col min="3332" max="3334" width="11" style="244" customWidth="1"/>
    <col min="3335" max="3335" width="2.453125" style="244" customWidth="1"/>
    <col min="3336" max="3336" width="9.54296875" style="244" customWidth="1"/>
    <col min="3337" max="3338" width="9" style="244" customWidth="1"/>
    <col min="3339" max="3339" width="9.26953125" style="244" customWidth="1"/>
    <col min="3340" max="3340" width="9" style="244" customWidth="1"/>
    <col min="3341" max="3341" width="6.26953125" style="244" customWidth="1"/>
    <col min="3342" max="3342" width="9" style="244" customWidth="1"/>
    <col min="3343" max="3343" width="2.453125" style="244" customWidth="1"/>
    <col min="3344" max="3346" width="8.7265625" style="244" customWidth="1"/>
    <col min="3347" max="3347" width="9.54296875" style="244" customWidth="1"/>
    <col min="3348" max="3348" width="10.26953125" style="244" bestFit="1" customWidth="1"/>
    <col min="3349" max="3349" width="9.81640625" style="244" bestFit="1" customWidth="1"/>
    <col min="3350" max="3356" width="12.54296875" style="244" bestFit="1" customWidth="1"/>
    <col min="3357" max="3357" width="9.1796875" style="244"/>
    <col min="3358" max="3359" width="9.7265625" style="244" bestFit="1" customWidth="1"/>
    <col min="3360" max="3360" width="13" style="244" bestFit="1" customWidth="1"/>
    <col min="3361" max="3578" width="9.1796875" style="244"/>
    <col min="3579" max="3579" width="3.26953125" style="244" customWidth="1"/>
    <col min="3580" max="3585" width="11" style="244" customWidth="1"/>
    <col min="3586" max="3586" width="2.453125" style="244" customWidth="1"/>
    <col min="3587" max="3587" width="4.81640625" style="244" customWidth="1"/>
    <col min="3588" max="3590" width="11" style="244" customWidth="1"/>
    <col min="3591" max="3591" width="2.453125" style="244" customWidth="1"/>
    <col min="3592" max="3592" width="9.54296875" style="244" customWidth="1"/>
    <col min="3593" max="3594" width="9" style="244" customWidth="1"/>
    <col min="3595" max="3595" width="9.26953125" style="244" customWidth="1"/>
    <col min="3596" max="3596" width="9" style="244" customWidth="1"/>
    <col min="3597" max="3597" width="6.26953125" style="244" customWidth="1"/>
    <col min="3598" max="3598" width="9" style="244" customWidth="1"/>
    <col min="3599" max="3599" width="2.453125" style="244" customWidth="1"/>
    <col min="3600" max="3602" width="8.7265625" style="244" customWidth="1"/>
    <col min="3603" max="3603" width="9.54296875" style="244" customWidth="1"/>
    <col min="3604" max="3604" width="10.26953125" style="244" bestFit="1" customWidth="1"/>
    <col min="3605" max="3605" width="9.81640625" style="244" bestFit="1" customWidth="1"/>
    <col min="3606" max="3612" width="12.54296875" style="244" bestFit="1" customWidth="1"/>
    <col min="3613" max="3613" width="9.1796875" style="244"/>
    <col min="3614" max="3615" width="9.7265625" style="244" bestFit="1" customWidth="1"/>
    <col min="3616" max="3616" width="13" style="244" bestFit="1" customWidth="1"/>
    <col min="3617" max="3834" width="9.1796875" style="244"/>
    <col min="3835" max="3835" width="3.26953125" style="244" customWidth="1"/>
    <col min="3836" max="3841" width="11" style="244" customWidth="1"/>
    <col min="3842" max="3842" width="2.453125" style="244" customWidth="1"/>
    <col min="3843" max="3843" width="4.81640625" style="244" customWidth="1"/>
    <col min="3844" max="3846" width="11" style="244" customWidth="1"/>
    <col min="3847" max="3847" width="2.453125" style="244" customWidth="1"/>
    <col min="3848" max="3848" width="9.54296875" style="244" customWidth="1"/>
    <col min="3849" max="3850" width="9" style="244" customWidth="1"/>
    <col min="3851" max="3851" width="9.26953125" style="244" customWidth="1"/>
    <col min="3852" max="3852" width="9" style="244" customWidth="1"/>
    <col min="3853" max="3853" width="6.26953125" style="244" customWidth="1"/>
    <col min="3854" max="3854" width="9" style="244" customWidth="1"/>
    <col min="3855" max="3855" width="2.453125" style="244" customWidth="1"/>
    <col min="3856" max="3858" width="8.7265625" style="244" customWidth="1"/>
    <col min="3859" max="3859" width="9.54296875" style="244" customWidth="1"/>
    <col min="3860" max="3860" width="10.26953125" style="244" bestFit="1" customWidth="1"/>
    <col min="3861" max="3861" width="9.81640625" style="244" bestFit="1" customWidth="1"/>
    <col min="3862" max="3868" width="12.54296875" style="244" bestFit="1" customWidth="1"/>
    <col min="3869" max="3869" width="9.1796875" style="244"/>
    <col min="3870" max="3871" width="9.7265625" style="244" bestFit="1" customWidth="1"/>
    <col min="3872" max="3872" width="13" style="244" bestFit="1" customWidth="1"/>
    <col min="3873" max="4090" width="9.1796875" style="244"/>
    <col min="4091" max="4091" width="3.26953125" style="244" customWidth="1"/>
    <col min="4092" max="4097" width="11" style="244" customWidth="1"/>
    <col min="4098" max="4098" width="2.453125" style="244" customWidth="1"/>
    <col min="4099" max="4099" width="4.81640625" style="244" customWidth="1"/>
    <col min="4100" max="4102" width="11" style="244" customWidth="1"/>
    <col min="4103" max="4103" width="2.453125" style="244" customWidth="1"/>
    <col min="4104" max="4104" width="9.54296875" style="244" customWidth="1"/>
    <col min="4105" max="4106" width="9" style="244" customWidth="1"/>
    <col min="4107" max="4107" width="9.26953125" style="244" customWidth="1"/>
    <col min="4108" max="4108" width="9" style="244" customWidth="1"/>
    <col min="4109" max="4109" width="6.26953125" style="244" customWidth="1"/>
    <col min="4110" max="4110" width="9" style="244" customWidth="1"/>
    <col min="4111" max="4111" width="2.453125" style="244" customWidth="1"/>
    <col min="4112" max="4114" width="8.7265625" style="244" customWidth="1"/>
    <col min="4115" max="4115" width="9.54296875" style="244" customWidth="1"/>
    <col min="4116" max="4116" width="10.26953125" style="244" bestFit="1" customWidth="1"/>
    <col min="4117" max="4117" width="9.81640625" style="244" bestFit="1" customWidth="1"/>
    <col min="4118" max="4124" width="12.54296875" style="244" bestFit="1" customWidth="1"/>
    <col min="4125" max="4125" width="9.1796875" style="244"/>
    <col min="4126" max="4127" width="9.7265625" style="244" bestFit="1" customWidth="1"/>
    <col min="4128" max="4128" width="13" style="244" bestFit="1" customWidth="1"/>
    <col min="4129" max="4346" width="9.1796875" style="244"/>
    <col min="4347" max="4347" width="3.26953125" style="244" customWidth="1"/>
    <col min="4348" max="4353" width="11" style="244" customWidth="1"/>
    <col min="4354" max="4354" width="2.453125" style="244" customWidth="1"/>
    <col min="4355" max="4355" width="4.81640625" style="244" customWidth="1"/>
    <col min="4356" max="4358" width="11" style="244" customWidth="1"/>
    <col min="4359" max="4359" width="2.453125" style="244" customWidth="1"/>
    <col min="4360" max="4360" width="9.54296875" style="244" customWidth="1"/>
    <col min="4361" max="4362" width="9" style="244" customWidth="1"/>
    <col min="4363" max="4363" width="9.26953125" style="244" customWidth="1"/>
    <col min="4364" max="4364" width="9" style="244" customWidth="1"/>
    <col min="4365" max="4365" width="6.26953125" style="244" customWidth="1"/>
    <col min="4366" max="4366" width="9" style="244" customWidth="1"/>
    <col min="4367" max="4367" width="2.453125" style="244" customWidth="1"/>
    <col min="4368" max="4370" width="8.7265625" style="244" customWidth="1"/>
    <col min="4371" max="4371" width="9.54296875" style="244" customWidth="1"/>
    <col min="4372" max="4372" width="10.26953125" style="244" bestFit="1" customWidth="1"/>
    <col min="4373" max="4373" width="9.81640625" style="244" bestFit="1" customWidth="1"/>
    <col min="4374" max="4380" width="12.54296875" style="244" bestFit="1" customWidth="1"/>
    <col min="4381" max="4381" width="9.1796875" style="244"/>
    <col min="4382" max="4383" width="9.7265625" style="244" bestFit="1" customWidth="1"/>
    <col min="4384" max="4384" width="13" style="244" bestFit="1" customWidth="1"/>
    <col min="4385" max="4602" width="9.1796875" style="244"/>
    <col min="4603" max="4603" width="3.26953125" style="244" customWidth="1"/>
    <col min="4604" max="4609" width="11" style="244" customWidth="1"/>
    <col min="4610" max="4610" width="2.453125" style="244" customWidth="1"/>
    <col min="4611" max="4611" width="4.81640625" style="244" customWidth="1"/>
    <col min="4612" max="4614" width="11" style="244" customWidth="1"/>
    <col min="4615" max="4615" width="2.453125" style="244" customWidth="1"/>
    <col min="4616" max="4616" width="9.54296875" style="244" customWidth="1"/>
    <col min="4617" max="4618" width="9" style="244" customWidth="1"/>
    <col min="4619" max="4619" width="9.26953125" style="244" customWidth="1"/>
    <col min="4620" max="4620" width="9" style="244" customWidth="1"/>
    <col min="4621" max="4621" width="6.26953125" style="244" customWidth="1"/>
    <col min="4622" max="4622" width="9" style="244" customWidth="1"/>
    <col min="4623" max="4623" width="2.453125" style="244" customWidth="1"/>
    <col min="4624" max="4626" width="8.7265625" style="244" customWidth="1"/>
    <col min="4627" max="4627" width="9.54296875" style="244" customWidth="1"/>
    <col min="4628" max="4628" width="10.26953125" style="244" bestFit="1" customWidth="1"/>
    <col min="4629" max="4629" width="9.81640625" style="244" bestFit="1" customWidth="1"/>
    <col min="4630" max="4636" width="12.54296875" style="244" bestFit="1" customWidth="1"/>
    <col min="4637" max="4637" width="9.1796875" style="244"/>
    <col min="4638" max="4639" width="9.7265625" style="244" bestFit="1" customWidth="1"/>
    <col min="4640" max="4640" width="13" style="244" bestFit="1" customWidth="1"/>
    <col min="4641" max="4858" width="9.1796875" style="244"/>
    <col min="4859" max="4859" width="3.26953125" style="244" customWidth="1"/>
    <col min="4860" max="4865" width="11" style="244" customWidth="1"/>
    <col min="4866" max="4866" width="2.453125" style="244" customWidth="1"/>
    <col min="4867" max="4867" width="4.81640625" style="244" customWidth="1"/>
    <col min="4868" max="4870" width="11" style="244" customWidth="1"/>
    <col min="4871" max="4871" width="2.453125" style="244" customWidth="1"/>
    <col min="4872" max="4872" width="9.54296875" style="244" customWidth="1"/>
    <col min="4873" max="4874" width="9" style="244" customWidth="1"/>
    <col min="4875" max="4875" width="9.26953125" style="244" customWidth="1"/>
    <col min="4876" max="4876" width="9" style="244" customWidth="1"/>
    <col min="4877" max="4877" width="6.26953125" style="244" customWidth="1"/>
    <col min="4878" max="4878" width="9" style="244" customWidth="1"/>
    <col min="4879" max="4879" width="2.453125" style="244" customWidth="1"/>
    <col min="4880" max="4882" width="8.7265625" style="244" customWidth="1"/>
    <col min="4883" max="4883" width="9.54296875" style="244" customWidth="1"/>
    <col min="4884" max="4884" width="10.26953125" style="244" bestFit="1" customWidth="1"/>
    <col min="4885" max="4885" width="9.81640625" style="244" bestFit="1" customWidth="1"/>
    <col min="4886" max="4892" width="12.54296875" style="244" bestFit="1" customWidth="1"/>
    <col min="4893" max="4893" width="9.1796875" style="244"/>
    <col min="4894" max="4895" width="9.7265625" style="244" bestFit="1" customWidth="1"/>
    <col min="4896" max="4896" width="13" style="244" bestFit="1" customWidth="1"/>
    <col min="4897" max="5114" width="9.1796875" style="244"/>
    <col min="5115" max="5115" width="3.26953125" style="244" customWidth="1"/>
    <col min="5116" max="5121" width="11" style="244" customWidth="1"/>
    <col min="5122" max="5122" width="2.453125" style="244" customWidth="1"/>
    <col min="5123" max="5123" width="4.81640625" style="244" customWidth="1"/>
    <col min="5124" max="5126" width="11" style="244" customWidth="1"/>
    <col min="5127" max="5127" width="2.453125" style="244" customWidth="1"/>
    <col min="5128" max="5128" width="9.54296875" style="244" customWidth="1"/>
    <col min="5129" max="5130" width="9" style="244" customWidth="1"/>
    <col min="5131" max="5131" width="9.26953125" style="244" customWidth="1"/>
    <col min="5132" max="5132" width="9" style="244" customWidth="1"/>
    <col min="5133" max="5133" width="6.26953125" style="244" customWidth="1"/>
    <col min="5134" max="5134" width="9" style="244" customWidth="1"/>
    <col min="5135" max="5135" width="2.453125" style="244" customWidth="1"/>
    <col min="5136" max="5138" width="8.7265625" style="244" customWidth="1"/>
    <col min="5139" max="5139" width="9.54296875" style="244" customWidth="1"/>
    <col min="5140" max="5140" width="10.26953125" style="244" bestFit="1" customWidth="1"/>
    <col min="5141" max="5141" width="9.81640625" style="244" bestFit="1" customWidth="1"/>
    <col min="5142" max="5148" width="12.54296875" style="244" bestFit="1" customWidth="1"/>
    <col min="5149" max="5149" width="9.1796875" style="244"/>
    <col min="5150" max="5151" width="9.7265625" style="244" bestFit="1" customWidth="1"/>
    <col min="5152" max="5152" width="13" style="244" bestFit="1" customWidth="1"/>
    <col min="5153" max="5370" width="9.1796875" style="244"/>
    <col min="5371" max="5371" width="3.26953125" style="244" customWidth="1"/>
    <col min="5372" max="5377" width="11" style="244" customWidth="1"/>
    <col min="5378" max="5378" width="2.453125" style="244" customWidth="1"/>
    <col min="5379" max="5379" width="4.81640625" style="244" customWidth="1"/>
    <col min="5380" max="5382" width="11" style="244" customWidth="1"/>
    <col min="5383" max="5383" width="2.453125" style="244" customWidth="1"/>
    <col min="5384" max="5384" width="9.54296875" style="244" customWidth="1"/>
    <col min="5385" max="5386" width="9" style="244" customWidth="1"/>
    <col min="5387" max="5387" width="9.26953125" style="244" customWidth="1"/>
    <col min="5388" max="5388" width="9" style="244" customWidth="1"/>
    <col min="5389" max="5389" width="6.26953125" style="244" customWidth="1"/>
    <col min="5390" max="5390" width="9" style="244" customWidth="1"/>
    <col min="5391" max="5391" width="2.453125" style="244" customWidth="1"/>
    <col min="5392" max="5394" width="8.7265625" style="244" customWidth="1"/>
    <col min="5395" max="5395" width="9.54296875" style="244" customWidth="1"/>
    <col min="5396" max="5396" width="10.26953125" style="244" bestFit="1" customWidth="1"/>
    <col min="5397" max="5397" width="9.81640625" style="244" bestFit="1" customWidth="1"/>
    <col min="5398" max="5404" width="12.54296875" style="244" bestFit="1" customWidth="1"/>
    <col min="5405" max="5405" width="9.1796875" style="244"/>
    <col min="5406" max="5407" width="9.7265625" style="244" bestFit="1" customWidth="1"/>
    <col min="5408" max="5408" width="13" style="244" bestFit="1" customWidth="1"/>
    <col min="5409" max="5626" width="9.1796875" style="244"/>
    <col min="5627" max="5627" width="3.26953125" style="244" customWidth="1"/>
    <col min="5628" max="5633" width="11" style="244" customWidth="1"/>
    <col min="5634" max="5634" width="2.453125" style="244" customWidth="1"/>
    <col min="5635" max="5635" width="4.81640625" style="244" customWidth="1"/>
    <col min="5636" max="5638" width="11" style="244" customWidth="1"/>
    <col min="5639" max="5639" width="2.453125" style="244" customWidth="1"/>
    <col min="5640" max="5640" width="9.54296875" style="244" customWidth="1"/>
    <col min="5641" max="5642" width="9" style="244" customWidth="1"/>
    <col min="5643" max="5643" width="9.26953125" style="244" customWidth="1"/>
    <col min="5644" max="5644" width="9" style="244" customWidth="1"/>
    <col min="5645" max="5645" width="6.26953125" style="244" customWidth="1"/>
    <col min="5646" max="5646" width="9" style="244" customWidth="1"/>
    <col min="5647" max="5647" width="2.453125" style="244" customWidth="1"/>
    <col min="5648" max="5650" width="8.7265625" style="244" customWidth="1"/>
    <col min="5651" max="5651" width="9.54296875" style="244" customWidth="1"/>
    <col min="5652" max="5652" width="10.26953125" style="244" bestFit="1" customWidth="1"/>
    <col min="5653" max="5653" width="9.81640625" style="244" bestFit="1" customWidth="1"/>
    <col min="5654" max="5660" width="12.54296875" style="244" bestFit="1" customWidth="1"/>
    <col min="5661" max="5661" width="9.1796875" style="244"/>
    <col min="5662" max="5663" width="9.7265625" style="244" bestFit="1" customWidth="1"/>
    <col min="5664" max="5664" width="13" style="244" bestFit="1" customWidth="1"/>
    <col min="5665" max="5882" width="9.1796875" style="244"/>
    <col min="5883" max="5883" width="3.26953125" style="244" customWidth="1"/>
    <col min="5884" max="5889" width="11" style="244" customWidth="1"/>
    <col min="5890" max="5890" width="2.453125" style="244" customWidth="1"/>
    <col min="5891" max="5891" width="4.81640625" style="244" customWidth="1"/>
    <col min="5892" max="5894" width="11" style="244" customWidth="1"/>
    <col min="5895" max="5895" width="2.453125" style="244" customWidth="1"/>
    <col min="5896" max="5896" width="9.54296875" style="244" customWidth="1"/>
    <col min="5897" max="5898" width="9" style="244" customWidth="1"/>
    <col min="5899" max="5899" width="9.26953125" style="244" customWidth="1"/>
    <col min="5900" max="5900" width="9" style="244" customWidth="1"/>
    <col min="5901" max="5901" width="6.26953125" style="244" customWidth="1"/>
    <col min="5902" max="5902" width="9" style="244" customWidth="1"/>
    <col min="5903" max="5903" width="2.453125" style="244" customWidth="1"/>
    <col min="5904" max="5906" width="8.7265625" style="244" customWidth="1"/>
    <col min="5907" max="5907" width="9.54296875" style="244" customWidth="1"/>
    <col min="5908" max="5908" width="10.26953125" style="244" bestFit="1" customWidth="1"/>
    <col min="5909" max="5909" width="9.81640625" style="244" bestFit="1" customWidth="1"/>
    <col min="5910" max="5916" width="12.54296875" style="244" bestFit="1" customWidth="1"/>
    <col min="5917" max="5917" width="9.1796875" style="244"/>
    <col min="5918" max="5919" width="9.7265625" style="244" bestFit="1" customWidth="1"/>
    <col min="5920" max="5920" width="13" style="244" bestFit="1" customWidth="1"/>
    <col min="5921" max="6138" width="9.1796875" style="244"/>
    <col min="6139" max="6139" width="3.26953125" style="244" customWidth="1"/>
    <col min="6140" max="6145" width="11" style="244" customWidth="1"/>
    <col min="6146" max="6146" width="2.453125" style="244" customWidth="1"/>
    <col min="6147" max="6147" width="4.81640625" style="244" customWidth="1"/>
    <col min="6148" max="6150" width="11" style="244" customWidth="1"/>
    <col min="6151" max="6151" width="2.453125" style="244" customWidth="1"/>
    <col min="6152" max="6152" width="9.54296875" style="244" customWidth="1"/>
    <col min="6153" max="6154" width="9" style="244" customWidth="1"/>
    <col min="6155" max="6155" width="9.26953125" style="244" customWidth="1"/>
    <col min="6156" max="6156" width="9" style="244" customWidth="1"/>
    <col min="6157" max="6157" width="6.26953125" style="244" customWidth="1"/>
    <col min="6158" max="6158" width="9" style="244" customWidth="1"/>
    <col min="6159" max="6159" width="2.453125" style="244" customWidth="1"/>
    <col min="6160" max="6162" width="8.7265625" style="244" customWidth="1"/>
    <col min="6163" max="6163" width="9.54296875" style="244" customWidth="1"/>
    <col min="6164" max="6164" width="10.26953125" style="244" bestFit="1" customWidth="1"/>
    <col min="6165" max="6165" width="9.81640625" style="244" bestFit="1" customWidth="1"/>
    <col min="6166" max="6172" width="12.54296875" style="244" bestFit="1" customWidth="1"/>
    <col min="6173" max="6173" width="9.1796875" style="244"/>
    <col min="6174" max="6175" width="9.7265625" style="244" bestFit="1" customWidth="1"/>
    <col min="6176" max="6176" width="13" style="244" bestFit="1" customWidth="1"/>
    <col min="6177" max="6394" width="9.1796875" style="244"/>
    <col min="6395" max="6395" width="3.26953125" style="244" customWidth="1"/>
    <col min="6396" max="6401" width="11" style="244" customWidth="1"/>
    <col min="6402" max="6402" width="2.453125" style="244" customWidth="1"/>
    <col min="6403" max="6403" width="4.81640625" style="244" customWidth="1"/>
    <col min="6404" max="6406" width="11" style="244" customWidth="1"/>
    <col min="6407" max="6407" width="2.453125" style="244" customWidth="1"/>
    <col min="6408" max="6408" width="9.54296875" style="244" customWidth="1"/>
    <col min="6409" max="6410" width="9" style="244" customWidth="1"/>
    <col min="6411" max="6411" width="9.26953125" style="244" customWidth="1"/>
    <col min="6412" max="6412" width="9" style="244" customWidth="1"/>
    <col min="6413" max="6413" width="6.26953125" style="244" customWidth="1"/>
    <col min="6414" max="6414" width="9" style="244" customWidth="1"/>
    <col min="6415" max="6415" width="2.453125" style="244" customWidth="1"/>
    <col min="6416" max="6418" width="8.7265625" style="244" customWidth="1"/>
    <col min="6419" max="6419" width="9.54296875" style="244" customWidth="1"/>
    <col min="6420" max="6420" width="10.26953125" style="244" bestFit="1" customWidth="1"/>
    <col min="6421" max="6421" width="9.81640625" style="244" bestFit="1" customWidth="1"/>
    <col min="6422" max="6428" width="12.54296875" style="244" bestFit="1" customWidth="1"/>
    <col min="6429" max="6429" width="9.1796875" style="244"/>
    <col min="6430" max="6431" width="9.7265625" style="244" bestFit="1" customWidth="1"/>
    <col min="6432" max="6432" width="13" style="244" bestFit="1" customWidth="1"/>
    <col min="6433" max="6650" width="9.1796875" style="244"/>
    <col min="6651" max="6651" width="3.26953125" style="244" customWidth="1"/>
    <col min="6652" max="6657" width="11" style="244" customWidth="1"/>
    <col min="6658" max="6658" width="2.453125" style="244" customWidth="1"/>
    <col min="6659" max="6659" width="4.81640625" style="244" customWidth="1"/>
    <col min="6660" max="6662" width="11" style="244" customWidth="1"/>
    <col min="6663" max="6663" width="2.453125" style="244" customWidth="1"/>
    <col min="6664" max="6664" width="9.54296875" style="244" customWidth="1"/>
    <col min="6665" max="6666" width="9" style="244" customWidth="1"/>
    <col min="6667" max="6667" width="9.26953125" style="244" customWidth="1"/>
    <col min="6668" max="6668" width="9" style="244" customWidth="1"/>
    <col min="6669" max="6669" width="6.26953125" style="244" customWidth="1"/>
    <col min="6670" max="6670" width="9" style="244" customWidth="1"/>
    <col min="6671" max="6671" width="2.453125" style="244" customWidth="1"/>
    <col min="6672" max="6674" width="8.7265625" style="244" customWidth="1"/>
    <col min="6675" max="6675" width="9.54296875" style="244" customWidth="1"/>
    <col min="6676" max="6676" width="10.26953125" style="244" bestFit="1" customWidth="1"/>
    <col min="6677" max="6677" width="9.81640625" style="244" bestFit="1" customWidth="1"/>
    <col min="6678" max="6684" width="12.54296875" style="244" bestFit="1" customWidth="1"/>
    <col min="6685" max="6685" width="9.1796875" style="244"/>
    <col min="6686" max="6687" width="9.7265625" style="244" bestFit="1" customWidth="1"/>
    <col min="6688" max="6688" width="13" style="244" bestFit="1" customWidth="1"/>
    <col min="6689" max="6906" width="9.1796875" style="244"/>
    <col min="6907" max="6907" width="3.26953125" style="244" customWidth="1"/>
    <col min="6908" max="6913" width="11" style="244" customWidth="1"/>
    <col min="6914" max="6914" width="2.453125" style="244" customWidth="1"/>
    <col min="6915" max="6915" width="4.81640625" style="244" customWidth="1"/>
    <col min="6916" max="6918" width="11" style="244" customWidth="1"/>
    <col min="6919" max="6919" width="2.453125" style="244" customWidth="1"/>
    <col min="6920" max="6920" width="9.54296875" style="244" customWidth="1"/>
    <col min="6921" max="6922" width="9" style="244" customWidth="1"/>
    <col min="6923" max="6923" width="9.26953125" style="244" customWidth="1"/>
    <col min="6924" max="6924" width="9" style="244" customWidth="1"/>
    <col min="6925" max="6925" width="6.26953125" style="244" customWidth="1"/>
    <col min="6926" max="6926" width="9" style="244" customWidth="1"/>
    <col min="6927" max="6927" width="2.453125" style="244" customWidth="1"/>
    <col min="6928" max="6930" width="8.7265625" style="244" customWidth="1"/>
    <col min="6931" max="6931" width="9.54296875" style="244" customWidth="1"/>
    <col min="6932" max="6932" width="10.26953125" style="244" bestFit="1" customWidth="1"/>
    <col min="6933" max="6933" width="9.81640625" style="244" bestFit="1" customWidth="1"/>
    <col min="6934" max="6940" width="12.54296875" style="244" bestFit="1" customWidth="1"/>
    <col min="6941" max="6941" width="9.1796875" style="244"/>
    <col min="6942" max="6943" width="9.7265625" style="244" bestFit="1" customWidth="1"/>
    <col min="6944" max="6944" width="13" style="244" bestFit="1" customWidth="1"/>
    <col min="6945" max="7162" width="9.1796875" style="244"/>
    <col min="7163" max="7163" width="3.26953125" style="244" customWidth="1"/>
    <col min="7164" max="7169" width="11" style="244" customWidth="1"/>
    <col min="7170" max="7170" width="2.453125" style="244" customWidth="1"/>
    <col min="7171" max="7171" width="4.81640625" style="244" customWidth="1"/>
    <col min="7172" max="7174" width="11" style="244" customWidth="1"/>
    <col min="7175" max="7175" width="2.453125" style="244" customWidth="1"/>
    <col min="7176" max="7176" width="9.54296875" style="244" customWidth="1"/>
    <col min="7177" max="7178" width="9" style="244" customWidth="1"/>
    <col min="7179" max="7179" width="9.26953125" style="244" customWidth="1"/>
    <col min="7180" max="7180" width="9" style="244" customWidth="1"/>
    <col min="7181" max="7181" width="6.26953125" style="244" customWidth="1"/>
    <col min="7182" max="7182" width="9" style="244" customWidth="1"/>
    <col min="7183" max="7183" width="2.453125" style="244" customWidth="1"/>
    <col min="7184" max="7186" width="8.7265625" style="244" customWidth="1"/>
    <col min="7187" max="7187" width="9.54296875" style="244" customWidth="1"/>
    <col min="7188" max="7188" width="10.26953125" style="244" bestFit="1" customWidth="1"/>
    <col min="7189" max="7189" width="9.81640625" style="244" bestFit="1" customWidth="1"/>
    <col min="7190" max="7196" width="12.54296875" style="244" bestFit="1" customWidth="1"/>
    <col min="7197" max="7197" width="9.1796875" style="244"/>
    <col min="7198" max="7199" width="9.7265625" style="244" bestFit="1" customWidth="1"/>
    <col min="7200" max="7200" width="13" style="244" bestFit="1" customWidth="1"/>
    <col min="7201" max="7418" width="9.1796875" style="244"/>
    <col min="7419" max="7419" width="3.26953125" style="244" customWidth="1"/>
    <col min="7420" max="7425" width="11" style="244" customWidth="1"/>
    <col min="7426" max="7426" width="2.453125" style="244" customWidth="1"/>
    <col min="7427" max="7427" width="4.81640625" style="244" customWidth="1"/>
    <col min="7428" max="7430" width="11" style="244" customWidth="1"/>
    <col min="7431" max="7431" width="2.453125" style="244" customWidth="1"/>
    <col min="7432" max="7432" width="9.54296875" style="244" customWidth="1"/>
    <col min="7433" max="7434" width="9" style="244" customWidth="1"/>
    <col min="7435" max="7435" width="9.26953125" style="244" customWidth="1"/>
    <col min="7436" max="7436" width="9" style="244" customWidth="1"/>
    <col min="7437" max="7437" width="6.26953125" style="244" customWidth="1"/>
    <col min="7438" max="7438" width="9" style="244" customWidth="1"/>
    <col min="7439" max="7439" width="2.453125" style="244" customWidth="1"/>
    <col min="7440" max="7442" width="8.7265625" style="244" customWidth="1"/>
    <col min="7443" max="7443" width="9.54296875" style="244" customWidth="1"/>
    <col min="7444" max="7444" width="10.26953125" style="244" bestFit="1" customWidth="1"/>
    <col min="7445" max="7445" width="9.81640625" style="244" bestFit="1" customWidth="1"/>
    <col min="7446" max="7452" width="12.54296875" style="244" bestFit="1" customWidth="1"/>
    <col min="7453" max="7453" width="9.1796875" style="244"/>
    <col min="7454" max="7455" width="9.7265625" style="244" bestFit="1" customWidth="1"/>
    <col min="7456" max="7456" width="13" style="244" bestFit="1" customWidth="1"/>
    <col min="7457" max="7674" width="9.1796875" style="244"/>
    <col min="7675" max="7675" width="3.26953125" style="244" customWidth="1"/>
    <col min="7676" max="7681" width="11" style="244" customWidth="1"/>
    <col min="7682" max="7682" width="2.453125" style="244" customWidth="1"/>
    <col min="7683" max="7683" width="4.81640625" style="244" customWidth="1"/>
    <col min="7684" max="7686" width="11" style="244" customWidth="1"/>
    <col min="7687" max="7687" width="2.453125" style="244" customWidth="1"/>
    <col min="7688" max="7688" width="9.54296875" style="244" customWidth="1"/>
    <col min="7689" max="7690" width="9" style="244" customWidth="1"/>
    <col min="7691" max="7691" width="9.26953125" style="244" customWidth="1"/>
    <col min="7692" max="7692" width="9" style="244" customWidth="1"/>
    <col min="7693" max="7693" width="6.26953125" style="244" customWidth="1"/>
    <col min="7694" max="7694" width="9" style="244" customWidth="1"/>
    <col min="7695" max="7695" width="2.453125" style="244" customWidth="1"/>
    <col min="7696" max="7698" width="8.7265625" style="244" customWidth="1"/>
    <col min="7699" max="7699" width="9.54296875" style="244" customWidth="1"/>
    <col min="7700" max="7700" width="10.26953125" style="244" bestFit="1" customWidth="1"/>
    <col min="7701" max="7701" width="9.81640625" style="244" bestFit="1" customWidth="1"/>
    <col min="7702" max="7708" width="12.54296875" style="244" bestFit="1" customWidth="1"/>
    <col min="7709" max="7709" width="9.1796875" style="244"/>
    <col min="7710" max="7711" width="9.7265625" style="244" bestFit="1" customWidth="1"/>
    <col min="7712" max="7712" width="13" style="244" bestFit="1" customWidth="1"/>
    <col min="7713" max="7930" width="9.1796875" style="244"/>
    <col min="7931" max="7931" width="3.26953125" style="244" customWidth="1"/>
    <col min="7932" max="7937" width="11" style="244" customWidth="1"/>
    <col min="7938" max="7938" width="2.453125" style="244" customWidth="1"/>
    <col min="7939" max="7939" width="4.81640625" style="244" customWidth="1"/>
    <col min="7940" max="7942" width="11" style="244" customWidth="1"/>
    <col min="7943" max="7943" width="2.453125" style="244" customWidth="1"/>
    <col min="7944" max="7944" width="9.54296875" style="244" customWidth="1"/>
    <col min="7945" max="7946" width="9" style="244" customWidth="1"/>
    <col min="7947" max="7947" width="9.26953125" style="244" customWidth="1"/>
    <col min="7948" max="7948" width="9" style="244" customWidth="1"/>
    <col min="7949" max="7949" width="6.26953125" style="244" customWidth="1"/>
    <col min="7950" max="7950" width="9" style="244" customWidth="1"/>
    <col min="7951" max="7951" width="2.453125" style="244" customWidth="1"/>
    <col min="7952" max="7954" width="8.7265625" style="244" customWidth="1"/>
    <col min="7955" max="7955" width="9.54296875" style="244" customWidth="1"/>
    <col min="7956" max="7956" width="10.26953125" style="244" bestFit="1" customWidth="1"/>
    <col min="7957" max="7957" width="9.81640625" style="244" bestFit="1" customWidth="1"/>
    <col min="7958" max="7964" width="12.54296875" style="244" bestFit="1" customWidth="1"/>
    <col min="7965" max="7965" width="9.1796875" style="244"/>
    <col min="7966" max="7967" width="9.7265625" style="244" bestFit="1" customWidth="1"/>
    <col min="7968" max="7968" width="13" style="244" bestFit="1" customWidth="1"/>
    <col min="7969" max="8186" width="9.1796875" style="244"/>
    <col min="8187" max="8187" width="3.26953125" style="244" customWidth="1"/>
    <col min="8188" max="8193" width="11" style="244" customWidth="1"/>
    <col min="8194" max="8194" width="2.453125" style="244" customWidth="1"/>
    <col min="8195" max="8195" width="4.81640625" style="244" customWidth="1"/>
    <col min="8196" max="8198" width="11" style="244" customWidth="1"/>
    <col min="8199" max="8199" width="2.453125" style="244" customWidth="1"/>
    <col min="8200" max="8200" width="9.54296875" style="244" customWidth="1"/>
    <col min="8201" max="8202" width="9" style="244" customWidth="1"/>
    <col min="8203" max="8203" width="9.26953125" style="244" customWidth="1"/>
    <col min="8204" max="8204" width="9" style="244" customWidth="1"/>
    <col min="8205" max="8205" width="6.26953125" style="244" customWidth="1"/>
    <col min="8206" max="8206" width="9" style="244" customWidth="1"/>
    <col min="8207" max="8207" width="2.453125" style="244" customWidth="1"/>
    <col min="8208" max="8210" width="8.7265625" style="244" customWidth="1"/>
    <col min="8211" max="8211" width="9.54296875" style="244" customWidth="1"/>
    <col min="8212" max="8212" width="10.26953125" style="244" bestFit="1" customWidth="1"/>
    <col min="8213" max="8213" width="9.81640625" style="244" bestFit="1" customWidth="1"/>
    <col min="8214" max="8220" width="12.54296875" style="244" bestFit="1" customWidth="1"/>
    <col min="8221" max="8221" width="9.1796875" style="244"/>
    <col min="8222" max="8223" width="9.7265625" style="244" bestFit="1" customWidth="1"/>
    <col min="8224" max="8224" width="13" style="244" bestFit="1" customWidth="1"/>
    <col min="8225" max="8442" width="9.1796875" style="244"/>
    <col min="8443" max="8443" width="3.26953125" style="244" customWidth="1"/>
    <col min="8444" max="8449" width="11" style="244" customWidth="1"/>
    <col min="8450" max="8450" width="2.453125" style="244" customWidth="1"/>
    <col min="8451" max="8451" width="4.81640625" style="244" customWidth="1"/>
    <col min="8452" max="8454" width="11" style="244" customWidth="1"/>
    <col min="8455" max="8455" width="2.453125" style="244" customWidth="1"/>
    <col min="8456" max="8456" width="9.54296875" style="244" customWidth="1"/>
    <col min="8457" max="8458" width="9" style="244" customWidth="1"/>
    <col min="8459" max="8459" width="9.26953125" style="244" customWidth="1"/>
    <col min="8460" max="8460" width="9" style="244" customWidth="1"/>
    <col min="8461" max="8461" width="6.26953125" style="244" customWidth="1"/>
    <col min="8462" max="8462" width="9" style="244" customWidth="1"/>
    <col min="8463" max="8463" width="2.453125" style="244" customWidth="1"/>
    <col min="8464" max="8466" width="8.7265625" style="244" customWidth="1"/>
    <col min="8467" max="8467" width="9.54296875" style="244" customWidth="1"/>
    <col min="8468" max="8468" width="10.26953125" style="244" bestFit="1" customWidth="1"/>
    <col min="8469" max="8469" width="9.81640625" style="244" bestFit="1" customWidth="1"/>
    <col min="8470" max="8476" width="12.54296875" style="244" bestFit="1" customWidth="1"/>
    <col min="8477" max="8477" width="9.1796875" style="244"/>
    <col min="8478" max="8479" width="9.7265625" style="244" bestFit="1" customWidth="1"/>
    <col min="8480" max="8480" width="13" style="244" bestFit="1" customWidth="1"/>
    <col min="8481" max="8698" width="9.1796875" style="244"/>
    <col min="8699" max="8699" width="3.26953125" style="244" customWidth="1"/>
    <col min="8700" max="8705" width="11" style="244" customWidth="1"/>
    <col min="8706" max="8706" width="2.453125" style="244" customWidth="1"/>
    <col min="8707" max="8707" width="4.81640625" style="244" customWidth="1"/>
    <col min="8708" max="8710" width="11" style="244" customWidth="1"/>
    <col min="8711" max="8711" width="2.453125" style="244" customWidth="1"/>
    <col min="8712" max="8712" width="9.54296875" style="244" customWidth="1"/>
    <col min="8713" max="8714" width="9" style="244" customWidth="1"/>
    <col min="8715" max="8715" width="9.26953125" style="244" customWidth="1"/>
    <col min="8716" max="8716" width="9" style="244" customWidth="1"/>
    <col min="8717" max="8717" width="6.26953125" style="244" customWidth="1"/>
    <col min="8718" max="8718" width="9" style="244" customWidth="1"/>
    <col min="8719" max="8719" width="2.453125" style="244" customWidth="1"/>
    <col min="8720" max="8722" width="8.7265625" style="244" customWidth="1"/>
    <col min="8723" max="8723" width="9.54296875" style="244" customWidth="1"/>
    <col min="8724" max="8724" width="10.26953125" style="244" bestFit="1" customWidth="1"/>
    <col min="8725" max="8725" width="9.81640625" style="244" bestFit="1" customWidth="1"/>
    <col min="8726" max="8732" width="12.54296875" style="244" bestFit="1" customWidth="1"/>
    <col min="8733" max="8733" width="9.1796875" style="244"/>
    <col min="8734" max="8735" width="9.7265625" style="244" bestFit="1" customWidth="1"/>
    <col min="8736" max="8736" width="13" style="244" bestFit="1" customWidth="1"/>
    <col min="8737" max="8954" width="9.1796875" style="244"/>
    <col min="8955" max="8955" width="3.26953125" style="244" customWidth="1"/>
    <col min="8956" max="8961" width="11" style="244" customWidth="1"/>
    <col min="8962" max="8962" width="2.453125" style="244" customWidth="1"/>
    <col min="8963" max="8963" width="4.81640625" style="244" customWidth="1"/>
    <col min="8964" max="8966" width="11" style="244" customWidth="1"/>
    <col min="8967" max="8967" width="2.453125" style="244" customWidth="1"/>
    <col min="8968" max="8968" width="9.54296875" style="244" customWidth="1"/>
    <col min="8969" max="8970" width="9" style="244" customWidth="1"/>
    <col min="8971" max="8971" width="9.26953125" style="244" customWidth="1"/>
    <col min="8972" max="8972" width="9" style="244" customWidth="1"/>
    <col min="8973" max="8973" width="6.26953125" style="244" customWidth="1"/>
    <col min="8974" max="8974" width="9" style="244" customWidth="1"/>
    <col min="8975" max="8975" width="2.453125" style="244" customWidth="1"/>
    <col min="8976" max="8978" width="8.7265625" style="244" customWidth="1"/>
    <col min="8979" max="8979" width="9.54296875" style="244" customWidth="1"/>
    <col min="8980" max="8980" width="10.26953125" style="244" bestFit="1" customWidth="1"/>
    <col min="8981" max="8981" width="9.81640625" style="244" bestFit="1" customWidth="1"/>
    <col min="8982" max="8988" width="12.54296875" style="244" bestFit="1" customWidth="1"/>
    <col min="8989" max="8989" width="9.1796875" style="244"/>
    <col min="8990" max="8991" width="9.7265625" style="244" bestFit="1" customWidth="1"/>
    <col min="8992" max="8992" width="13" style="244" bestFit="1" customWidth="1"/>
    <col min="8993" max="9210" width="9.1796875" style="244"/>
    <col min="9211" max="9211" width="3.26953125" style="244" customWidth="1"/>
    <col min="9212" max="9217" width="11" style="244" customWidth="1"/>
    <col min="9218" max="9218" width="2.453125" style="244" customWidth="1"/>
    <col min="9219" max="9219" width="4.81640625" style="244" customWidth="1"/>
    <col min="9220" max="9222" width="11" style="244" customWidth="1"/>
    <col min="9223" max="9223" width="2.453125" style="244" customWidth="1"/>
    <col min="9224" max="9224" width="9.54296875" style="244" customWidth="1"/>
    <col min="9225" max="9226" width="9" style="244" customWidth="1"/>
    <col min="9227" max="9227" width="9.26953125" style="244" customWidth="1"/>
    <col min="9228" max="9228" width="9" style="244" customWidth="1"/>
    <col min="9229" max="9229" width="6.26953125" style="244" customWidth="1"/>
    <col min="9230" max="9230" width="9" style="244" customWidth="1"/>
    <col min="9231" max="9231" width="2.453125" style="244" customWidth="1"/>
    <col min="9232" max="9234" width="8.7265625" style="244" customWidth="1"/>
    <col min="9235" max="9235" width="9.54296875" style="244" customWidth="1"/>
    <col min="9236" max="9236" width="10.26953125" style="244" bestFit="1" customWidth="1"/>
    <col min="9237" max="9237" width="9.81640625" style="244" bestFit="1" customWidth="1"/>
    <col min="9238" max="9244" width="12.54296875" style="244" bestFit="1" customWidth="1"/>
    <col min="9245" max="9245" width="9.1796875" style="244"/>
    <col min="9246" max="9247" width="9.7265625" style="244" bestFit="1" customWidth="1"/>
    <col min="9248" max="9248" width="13" style="244" bestFit="1" customWidth="1"/>
    <col min="9249" max="9466" width="9.1796875" style="244"/>
    <col min="9467" max="9467" width="3.26953125" style="244" customWidth="1"/>
    <col min="9468" max="9473" width="11" style="244" customWidth="1"/>
    <col min="9474" max="9474" width="2.453125" style="244" customWidth="1"/>
    <col min="9475" max="9475" width="4.81640625" style="244" customWidth="1"/>
    <col min="9476" max="9478" width="11" style="244" customWidth="1"/>
    <col min="9479" max="9479" width="2.453125" style="244" customWidth="1"/>
    <col min="9480" max="9480" width="9.54296875" style="244" customWidth="1"/>
    <col min="9481" max="9482" width="9" style="244" customWidth="1"/>
    <col min="9483" max="9483" width="9.26953125" style="244" customWidth="1"/>
    <col min="9484" max="9484" width="9" style="244" customWidth="1"/>
    <col min="9485" max="9485" width="6.26953125" style="244" customWidth="1"/>
    <col min="9486" max="9486" width="9" style="244" customWidth="1"/>
    <col min="9487" max="9487" width="2.453125" style="244" customWidth="1"/>
    <col min="9488" max="9490" width="8.7265625" style="244" customWidth="1"/>
    <col min="9491" max="9491" width="9.54296875" style="244" customWidth="1"/>
    <col min="9492" max="9492" width="10.26953125" style="244" bestFit="1" customWidth="1"/>
    <col min="9493" max="9493" width="9.81640625" style="244" bestFit="1" customWidth="1"/>
    <col min="9494" max="9500" width="12.54296875" style="244" bestFit="1" customWidth="1"/>
    <col min="9501" max="9501" width="9.1796875" style="244"/>
    <col min="9502" max="9503" width="9.7265625" style="244" bestFit="1" customWidth="1"/>
    <col min="9504" max="9504" width="13" style="244" bestFit="1" customWidth="1"/>
    <col min="9505" max="9722" width="9.1796875" style="244"/>
    <col min="9723" max="9723" width="3.26953125" style="244" customWidth="1"/>
    <col min="9724" max="9729" width="11" style="244" customWidth="1"/>
    <col min="9730" max="9730" width="2.453125" style="244" customWidth="1"/>
    <col min="9731" max="9731" width="4.81640625" style="244" customWidth="1"/>
    <col min="9732" max="9734" width="11" style="244" customWidth="1"/>
    <col min="9735" max="9735" width="2.453125" style="244" customWidth="1"/>
    <col min="9736" max="9736" width="9.54296875" style="244" customWidth="1"/>
    <col min="9737" max="9738" width="9" style="244" customWidth="1"/>
    <col min="9739" max="9739" width="9.26953125" style="244" customWidth="1"/>
    <col min="9740" max="9740" width="9" style="244" customWidth="1"/>
    <col min="9741" max="9741" width="6.26953125" style="244" customWidth="1"/>
    <col min="9742" max="9742" width="9" style="244" customWidth="1"/>
    <col min="9743" max="9743" width="2.453125" style="244" customWidth="1"/>
    <col min="9744" max="9746" width="8.7265625" style="244" customWidth="1"/>
    <col min="9747" max="9747" width="9.54296875" style="244" customWidth="1"/>
    <col min="9748" max="9748" width="10.26953125" style="244" bestFit="1" customWidth="1"/>
    <col min="9749" max="9749" width="9.81640625" style="244" bestFit="1" customWidth="1"/>
    <col min="9750" max="9756" width="12.54296875" style="244" bestFit="1" customWidth="1"/>
    <col min="9757" max="9757" width="9.1796875" style="244"/>
    <col min="9758" max="9759" width="9.7265625" style="244" bestFit="1" customWidth="1"/>
    <col min="9760" max="9760" width="13" style="244" bestFit="1" customWidth="1"/>
    <col min="9761" max="9978" width="9.1796875" style="244"/>
    <col min="9979" max="9979" width="3.26953125" style="244" customWidth="1"/>
    <col min="9980" max="9985" width="11" style="244" customWidth="1"/>
    <col min="9986" max="9986" width="2.453125" style="244" customWidth="1"/>
    <col min="9987" max="9987" width="4.81640625" style="244" customWidth="1"/>
    <col min="9988" max="9990" width="11" style="244" customWidth="1"/>
    <col min="9991" max="9991" width="2.453125" style="244" customWidth="1"/>
    <col min="9992" max="9992" width="9.54296875" style="244" customWidth="1"/>
    <col min="9993" max="9994" width="9" style="244" customWidth="1"/>
    <col min="9995" max="9995" width="9.26953125" style="244" customWidth="1"/>
    <col min="9996" max="9996" width="9" style="244" customWidth="1"/>
    <col min="9997" max="9997" width="6.26953125" style="244" customWidth="1"/>
    <col min="9998" max="9998" width="9" style="244" customWidth="1"/>
    <col min="9999" max="9999" width="2.453125" style="244" customWidth="1"/>
    <col min="10000" max="10002" width="8.7265625" style="244" customWidth="1"/>
    <col min="10003" max="10003" width="9.54296875" style="244" customWidth="1"/>
    <col min="10004" max="10004" width="10.26953125" style="244" bestFit="1" customWidth="1"/>
    <col min="10005" max="10005" width="9.81640625" style="244" bestFit="1" customWidth="1"/>
    <col min="10006" max="10012" width="12.54296875" style="244" bestFit="1" customWidth="1"/>
    <col min="10013" max="10013" width="9.1796875" style="244"/>
    <col min="10014" max="10015" width="9.7265625" style="244" bestFit="1" customWidth="1"/>
    <col min="10016" max="10016" width="13" style="244" bestFit="1" customWidth="1"/>
    <col min="10017" max="10234" width="9.1796875" style="244"/>
    <col min="10235" max="10235" width="3.26953125" style="244" customWidth="1"/>
    <col min="10236" max="10241" width="11" style="244" customWidth="1"/>
    <col min="10242" max="10242" width="2.453125" style="244" customWidth="1"/>
    <col min="10243" max="10243" width="4.81640625" style="244" customWidth="1"/>
    <col min="10244" max="10246" width="11" style="244" customWidth="1"/>
    <col min="10247" max="10247" width="2.453125" style="244" customWidth="1"/>
    <col min="10248" max="10248" width="9.54296875" style="244" customWidth="1"/>
    <col min="10249" max="10250" width="9" style="244" customWidth="1"/>
    <col min="10251" max="10251" width="9.26953125" style="244" customWidth="1"/>
    <col min="10252" max="10252" width="9" style="244" customWidth="1"/>
    <col min="10253" max="10253" width="6.26953125" style="244" customWidth="1"/>
    <col min="10254" max="10254" width="9" style="244" customWidth="1"/>
    <col min="10255" max="10255" width="2.453125" style="244" customWidth="1"/>
    <col min="10256" max="10258" width="8.7265625" style="244" customWidth="1"/>
    <col min="10259" max="10259" width="9.54296875" style="244" customWidth="1"/>
    <col min="10260" max="10260" width="10.26953125" style="244" bestFit="1" customWidth="1"/>
    <col min="10261" max="10261" width="9.81640625" style="244" bestFit="1" customWidth="1"/>
    <col min="10262" max="10268" width="12.54296875" style="244" bestFit="1" customWidth="1"/>
    <col min="10269" max="10269" width="9.1796875" style="244"/>
    <col min="10270" max="10271" width="9.7265625" style="244" bestFit="1" customWidth="1"/>
    <col min="10272" max="10272" width="13" style="244" bestFit="1" customWidth="1"/>
    <col min="10273" max="10490" width="9.1796875" style="244"/>
    <col min="10491" max="10491" width="3.26953125" style="244" customWidth="1"/>
    <col min="10492" max="10497" width="11" style="244" customWidth="1"/>
    <col min="10498" max="10498" width="2.453125" style="244" customWidth="1"/>
    <col min="10499" max="10499" width="4.81640625" style="244" customWidth="1"/>
    <col min="10500" max="10502" width="11" style="244" customWidth="1"/>
    <col min="10503" max="10503" width="2.453125" style="244" customWidth="1"/>
    <col min="10504" max="10504" width="9.54296875" style="244" customWidth="1"/>
    <col min="10505" max="10506" width="9" style="244" customWidth="1"/>
    <col min="10507" max="10507" width="9.26953125" style="244" customWidth="1"/>
    <col min="10508" max="10508" width="9" style="244" customWidth="1"/>
    <col min="10509" max="10509" width="6.26953125" style="244" customWidth="1"/>
    <col min="10510" max="10510" width="9" style="244" customWidth="1"/>
    <col min="10511" max="10511" width="2.453125" style="244" customWidth="1"/>
    <col min="10512" max="10514" width="8.7265625" style="244" customWidth="1"/>
    <col min="10515" max="10515" width="9.54296875" style="244" customWidth="1"/>
    <col min="10516" max="10516" width="10.26953125" style="244" bestFit="1" customWidth="1"/>
    <col min="10517" max="10517" width="9.81640625" style="244" bestFit="1" customWidth="1"/>
    <col min="10518" max="10524" width="12.54296875" style="244" bestFit="1" customWidth="1"/>
    <col min="10525" max="10525" width="9.1796875" style="244"/>
    <col min="10526" max="10527" width="9.7265625" style="244" bestFit="1" customWidth="1"/>
    <col min="10528" max="10528" width="13" style="244" bestFit="1" customWidth="1"/>
    <col min="10529" max="10746" width="9.1796875" style="244"/>
    <col min="10747" max="10747" width="3.26953125" style="244" customWidth="1"/>
    <col min="10748" max="10753" width="11" style="244" customWidth="1"/>
    <col min="10754" max="10754" width="2.453125" style="244" customWidth="1"/>
    <col min="10755" max="10755" width="4.81640625" style="244" customWidth="1"/>
    <col min="10756" max="10758" width="11" style="244" customWidth="1"/>
    <col min="10759" max="10759" width="2.453125" style="244" customWidth="1"/>
    <col min="10760" max="10760" width="9.54296875" style="244" customWidth="1"/>
    <col min="10761" max="10762" width="9" style="244" customWidth="1"/>
    <col min="10763" max="10763" width="9.26953125" style="244" customWidth="1"/>
    <col min="10764" max="10764" width="9" style="244" customWidth="1"/>
    <col min="10765" max="10765" width="6.26953125" style="244" customWidth="1"/>
    <col min="10766" max="10766" width="9" style="244" customWidth="1"/>
    <col min="10767" max="10767" width="2.453125" style="244" customWidth="1"/>
    <col min="10768" max="10770" width="8.7265625" style="244" customWidth="1"/>
    <col min="10771" max="10771" width="9.54296875" style="244" customWidth="1"/>
    <col min="10772" max="10772" width="10.26953125" style="244" bestFit="1" customWidth="1"/>
    <col min="10773" max="10773" width="9.81640625" style="244" bestFit="1" customWidth="1"/>
    <col min="10774" max="10780" width="12.54296875" style="244" bestFit="1" customWidth="1"/>
    <col min="10781" max="10781" width="9.1796875" style="244"/>
    <col min="10782" max="10783" width="9.7265625" style="244" bestFit="1" customWidth="1"/>
    <col min="10784" max="10784" width="13" style="244" bestFit="1" customWidth="1"/>
    <col min="10785" max="11002" width="9.1796875" style="244"/>
    <col min="11003" max="11003" width="3.26953125" style="244" customWidth="1"/>
    <col min="11004" max="11009" width="11" style="244" customWidth="1"/>
    <col min="11010" max="11010" width="2.453125" style="244" customWidth="1"/>
    <col min="11011" max="11011" width="4.81640625" style="244" customWidth="1"/>
    <col min="11012" max="11014" width="11" style="244" customWidth="1"/>
    <col min="11015" max="11015" width="2.453125" style="244" customWidth="1"/>
    <col min="11016" max="11016" width="9.54296875" style="244" customWidth="1"/>
    <col min="11017" max="11018" width="9" style="244" customWidth="1"/>
    <col min="11019" max="11019" width="9.26953125" style="244" customWidth="1"/>
    <col min="11020" max="11020" width="9" style="244" customWidth="1"/>
    <col min="11021" max="11021" width="6.26953125" style="244" customWidth="1"/>
    <col min="11022" max="11022" width="9" style="244" customWidth="1"/>
    <col min="11023" max="11023" width="2.453125" style="244" customWidth="1"/>
    <col min="11024" max="11026" width="8.7265625" style="244" customWidth="1"/>
    <col min="11027" max="11027" width="9.54296875" style="244" customWidth="1"/>
    <col min="11028" max="11028" width="10.26953125" style="244" bestFit="1" customWidth="1"/>
    <col min="11029" max="11029" width="9.81640625" style="244" bestFit="1" customWidth="1"/>
    <col min="11030" max="11036" width="12.54296875" style="244" bestFit="1" customWidth="1"/>
    <col min="11037" max="11037" width="9.1796875" style="244"/>
    <col min="11038" max="11039" width="9.7265625" style="244" bestFit="1" customWidth="1"/>
    <col min="11040" max="11040" width="13" style="244" bestFit="1" customWidth="1"/>
    <col min="11041" max="11258" width="9.1796875" style="244"/>
    <col min="11259" max="11259" width="3.26953125" style="244" customWidth="1"/>
    <col min="11260" max="11265" width="11" style="244" customWidth="1"/>
    <col min="11266" max="11266" width="2.453125" style="244" customWidth="1"/>
    <col min="11267" max="11267" width="4.81640625" style="244" customWidth="1"/>
    <col min="11268" max="11270" width="11" style="244" customWidth="1"/>
    <col min="11271" max="11271" width="2.453125" style="244" customWidth="1"/>
    <col min="11272" max="11272" width="9.54296875" style="244" customWidth="1"/>
    <col min="11273" max="11274" width="9" style="244" customWidth="1"/>
    <col min="11275" max="11275" width="9.26953125" style="244" customWidth="1"/>
    <col min="11276" max="11276" width="9" style="244" customWidth="1"/>
    <col min="11277" max="11277" width="6.26953125" style="244" customWidth="1"/>
    <col min="11278" max="11278" width="9" style="244" customWidth="1"/>
    <col min="11279" max="11279" width="2.453125" style="244" customWidth="1"/>
    <col min="11280" max="11282" width="8.7265625" style="244" customWidth="1"/>
    <col min="11283" max="11283" width="9.54296875" style="244" customWidth="1"/>
    <col min="11284" max="11284" width="10.26953125" style="244" bestFit="1" customWidth="1"/>
    <col min="11285" max="11285" width="9.81640625" style="244" bestFit="1" customWidth="1"/>
    <col min="11286" max="11292" width="12.54296875" style="244" bestFit="1" customWidth="1"/>
    <col min="11293" max="11293" width="9.1796875" style="244"/>
    <col min="11294" max="11295" width="9.7265625" style="244" bestFit="1" customWidth="1"/>
    <col min="11296" max="11296" width="13" style="244" bestFit="1" customWidth="1"/>
    <col min="11297" max="11514" width="9.1796875" style="244"/>
    <col min="11515" max="11515" width="3.26953125" style="244" customWidth="1"/>
    <col min="11516" max="11521" width="11" style="244" customWidth="1"/>
    <col min="11522" max="11522" width="2.453125" style="244" customWidth="1"/>
    <col min="11523" max="11523" width="4.81640625" style="244" customWidth="1"/>
    <col min="11524" max="11526" width="11" style="244" customWidth="1"/>
    <col min="11527" max="11527" width="2.453125" style="244" customWidth="1"/>
    <col min="11528" max="11528" width="9.54296875" style="244" customWidth="1"/>
    <col min="11529" max="11530" width="9" style="244" customWidth="1"/>
    <col min="11531" max="11531" width="9.26953125" style="244" customWidth="1"/>
    <col min="11532" max="11532" width="9" style="244" customWidth="1"/>
    <col min="11533" max="11533" width="6.26953125" style="244" customWidth="1"/>
    <col min="11534" max="11534" width="9" style="244" customWidth="1"/>
    <col min="11535" max="11535" width="2.453125" style="244" customWidth="1"/>
    <col min="11536" max="11538" width="8.7265625" style="244" customWidth="1"/>
    <col min="11539" max="11539" width="9.54296875" style="244" customWidth="1"/>
    <col min="11540" max="11540" width="10.26953125" style="244" bestFit="1" customWidth="1"/>
    <col min="11541" max="11541" width="9.81640625" style="244" bestFit="1" customWidth="1"/>
    <col min="11542" max="11548" width="12.54296875" style="244" bestFit="1" customWidth="1"/>
    <col min="11549" max="11549" width="9.1796875" style="244"/>
    <col min="11550" max="11551" width="9.7265625" style="244" bestFit="1" customWidth="1"/>
    <col min="11552" max="11552" width="13" style="244" bestFit="1" customWidth="1"/>
    <col min="11553" max="11770" width="9.1796875" style="244"/>
    <col min="11771" max="11771" width="3.26953125" style="244" customWidth="1"/>
    <col min="11772" max="11777" width="11" style="244" customWidth="1"/>
    <col min="11778" max="11778" width="2.453125" style="244" customWidth="1"/>
    <col min="11779" max="11779" width="4.81640625" style="244" customWidth="1"/>
    <col min="11780" max="11782" width="11" style="244" customWidth="1"/>
    <col min="11783" max="11783" width="2.453125" style="244" customWidth="1"/>
    <col min="11784" max="11784" width="9.54296875" style="244" customWidth="1"/>
    <col min="11785" max="11786" width="9" style="244" customWidth="1"/>
    <col min="11787" max="11787" width="9.26953125" style="244" customWidth="1"/>
    <col min="11788" max="11788" width="9" style="244" customWidth="1"/>
    <col min="11789" max="11789" width="6.26953125" style="244" customWidth="1"/>
    <col min="11790" max="11790" width="9" style="244" customWidth="1"/>
    <col min="11791" max="11791" width="2.453125" style="244" customWidth="1"/>
    <col min="11792" max="11794" width="8.7265625" style="244" customWidth="1"/>
    <col min="11795" max="11795" width="9.54296875" style="244" customWidth="1"/>
    <col min="11796" max="11796" width="10.26953125" style="244" bestFit="1" customWidth="1"/>
    <col min="11797" max="11797" width="9.81640625" style="244" bestFit="1" customWidth="1"/>
    <col min="11798" max="11804" width="12.54296875" style="244" bestFit="1" customWidth="1"/>
    <col min="11805" max="11805" width="9.1796875" style="244"/>
    <col min="11806" max="11807" width="9.7265625" style="244" bestFit="1" customWidth="1"/>
    <col min="11808" max="11808" width="13" style="244" bestFit="1" customWidth="1"/>
    <col min="11809" max="12026" width="9.1796875" style="244"/>
    <col min="12027" max="12027" width="3.26953125" style="244" customWidth="1"/>
    <col min="12028" max="12033" width="11" style="244" customWidth="1"/>
    <col min="12034" max="12034" width="2.453125" style="244" customWidth="1"/>
    <col min="12035" max="12035" width="4.81640625" style="244" customWidth="1"/>
    <col min="12036" max="12038" width="11" style="244" customWidth="1"/>
    <col min="12039" max="12039" width="2.453125" style="244" customWidth="1"/>
    <col min="12040" max="12040" width="9.54296875" style="244" customWidth="1"/>
    <col min="12041" max="12042" width="9" style="244" customWidth="1"/>
    <col min="12043" max="12043" width="9.26953125" style="244" customWidth="1"/>
    <col min="12044" max="12044" width="9" style="244" customWidth="1"/>
    <col min="12045" max="12045" width="6.26953125" style="244" customWidth="1"/>
    <col min="12046" max="12046" width="9" style="244" customWidth="1"/>
    <col min="12047" max="12047" width="2.453125" style="244" customWidth="1"/>
    <col min="12048" max="12050" width="8.7265625" style="244" customWidth="1"/>
    <col min="12051" max="12051" width="9.54296875" style="244" customWidth="1"/>
    <col min="12052" max="12052" width="10.26953125" style="244" bestFit="1" customWidth="1"/>
    <col min="12053" max="12053" width="9.81640625" style="244" bestFit="1" customWidth="1"/>
    <col min="12054" max="12060" width="12.54296875" style="244" bestFit="1" customWidth="1"/>
    <col min="12061" max="12061" width="9.1796875" style="244"/>
    <col min="12062" max="12063" width="9.7265625" style="244" bestFit="1" customWidth="1"/>
    <col min="12064" max="12064" width="13" style="244" bestFit="1" customWidth="1"/>
    <col min="12065" max="12282" width="9.1796875" style="244"/>
    <col min="12283" max="12283" width="3.26953125" style="244" customWidth="1"/>
    <col min="12284" max="12289" width="11" style="244" customWidth="1"/>
    <col min="12290" max="12290" width="2.453125" style="244" customWidth="1"/>
    <col min="12291" max="12291" width="4.81640625" style="244" customWidth="1"/>
    <col min="12292" max="12294" width="11" style="244" customWidth="1"/>
    <col min="12295" max="12295" width="2.453125" style="244" customWidth="1"/>
    <col min="12296" max="12296" width="9.54296875" style="244" customWidth="1"/>
    <col min="12297" max="12298" width="9" style="244" customWidth="1"/>
    <col min="12299" max="12299" width="9.26953125" style="244" customWidth="1"/>
    <col min="12300" max="12300" width="9" style="244" customWidth="1"/>
    <col min="12301" max="12301" width="6.26953125" style="244" customWidth="1"/>
    <col min="12302" max="12302" width="9" style="244" customWidth="1"/>
    <col min="12303" max="12303" width="2.453125" style="244" customWidth="1"/>
    <col min="12304" max="12306" width="8.7265625" style="244" customWidth="1"/>
    <col min="12307" max="12307" width="9.54296875" style="244" customWidth="1"/>
    <col min="12308" max="12308" width="10.26953125" style="244" bestFit="1" customWidth="1"/>
    <col min="12309" max="12309" width="9.81640625" style="244" bestFit="1" customWidth="1"/>
    <col min="12310" max="12316" width="12.54296875" style="244" bestFit="1" customWidth="1"/>
    <col min="12317" max="12317" width="9.1796875" style="244"/>
    <col min="12318" max="12319" width="9.7265625" style="244" bestFit="1" customWidth="1"/>
    <col min="12320" max="12320" width="13" style="244" bestFit="1" customWidth="1"/>
    <col min="12321" max="12538" width="9.1796875" style="244"/>
    <col min="12539" max="12539" width="3.26953125" style="244" customWidth="1"/>
    <col min="12540" max="12545" width="11" style="244" customWidth="1"/>
    <col min="12546" max="12546" width="2.453125" style="244" customWidth="1"/>
    <col min="12547" max="12547" width="4.81640625" style="244" customWidth="1"/>
    <col min="12548" max="12550" width="11" style="244" customWidth="1"/>
    <col min="12551" max="12551" width="2.453125" style="244" customWidth="1"/>
    <col min="12552" max="12552" width="9.54296875" style="244" customWidth="1"/>
    <col min="12553" max="12554" width="9" style="244" customWidth="1"/>
    <col min="12555" max="12555" width="9.26953125" style="244" customWidth="1"/>
    <col min="12556" max="12556" width="9" style="244" customWidth="1"/>
    <col min="12557" max="12557" width="6.26953125" style="244" customWidth="1"/>
    <col min="12558" max="12558" width="9" style="244" customWidth="1"/>
    <col min="12559" max="12559" width="2.453125" style="244" customWidth="1"/>
    <col min="12560" max="12562" width="8.7265625" style="244" customWidth="1"/>
    <col min="12563" max="12563" width="9.54296875" style="244" customWidth="1"/>
    <col min="12564" max="12564" width="10.26953125" style="244" bestFit="1" customWidth="1"/>
    <col min="12565" max="12565" width="9.81640625" style="244" bestFit="1" customWidth="1"/>
    <col min="12566" max="12572" width="12.54296875" style="244" bestFit="1" customWidth="1"/>
    <col min="12573" max="12573" width="9.1796875" style="244"/>
    <col min="12574" max="12575" width="9.7265625" style="244" bestFit="1" customWidth="1"/>
    <col min="12576" max="12576" width="13" style="244" bestFit="1" customWidth="1"/>
    <col min="12577" max="12794" width="9.1796875" style="244"/>
    <col min="12795" max="12795" width="3.26953125" style="244" customWidth="1"/>
    <col min="12796" max="12801" width="11" style="244" customWidth="1"/>
    <col min="12802" max="12802" width="2.453125" style="244" customWidth="1"/>
    <col min="12803" max="12803" width="4.81640625" style="244" customWidth="1"/>
    <col min="12804" max="12806" width="11" style="244" customWidth="1"/>
    <col min="12807" max="12807" width="2.453125" style="244" customWidth="1"/>
    <col min="12808" max="12808" width="9.54296875" style="244" customWidth="1"/>
    <col min="12809" max="12810" width="9" style="244" customWidth="1"/>
    <col min="12811" max="12811" width="9.26953125" style="244" customWidth="1"/>
    <col min="12812" max="12812" width="9" style="244" customWidth="1"/>
    <col min="12813" max="12813" width="6.26953125" style="244" customWidth="1"/>
    <col min="12814" max="12814" width="9" style="244" customWidth="1"/>
    <col min="12815" max="12815" width="2.453125" style="244" customWidth="1"/>
    <col min="12816" max="12818" width="8.7265625" style="244" customWidth="1"/>
    <col min="12819" max="12819" width="9.54296875" style="244" customWidth="1"/>
    <col min="12820" max="12820" width="10.26953125" style="244" bestFit="1" customWidth="1"/>
    <col min="12821" max="12821" width="9.81640625" style="244" bestFit="1" customWidth="1"/>
    <col min="12822" max="12828" width="12.54296875" style="244" bestFit="1" customWidth="1"/>
    <col min="12829" max="12829" width="9.1796875" style="244"/>
    <col min="12830" max="12831" width="9.7265625" style="244" bestFit="1" customWidth="1"/>
    <col min="12832" max="12832" width="13" style="244" bestFit="1" customWidth="1"/>
    <col min="12833" max="13050" width="9.1796875" style="244"/>
    <col min="13051" max="13051" width="3.26953125" style="244" customWidth="1"/>
    <col min="13052" max="13057" width="11" style="244" customWidth="1"/>
    <col min="13058" max="13058" width="2.453125" style="244" customWidth="1"/>
    <col min="13059" max="13059" width="4.81640625" style="244" customWidth="1"/>
    <col min="13060" max="13062" width="11" style="244" customWidth="1"/>
    <col min="13063" max="13063" width="2.453125" style="244" customWidth="1"/>
    <col min="13064" max="13064" width="9.54296875" style="244" customWidth="1"/>
    <col min="13065" max="13066" width="9" style="244" customWidth="1"/>
    <col min="13067" max="13067" width="9.26953125" style="244" customWidth="1"/>
    <col min="13068" max="13068" width="9" style="244" customWidth="1"/>
    <col min="13069" max="13069" width="6.26953125" style="244" customWidth="1"/>
    <col min="13070" max="13070" width="9" style="244" customWidth="1"/>
    <col min="13071" max="13071" width="2.453125" style="244" customWidth="1"/>
    <col min="13072" max="13074" width="8.7265625" style="244" customWidth="1"/>
    <col min="13075" max="13075" width="9.54296875" style="244" customWidth="1"/>
    <col min="13076" max="13076" width="10.26953125" style="244" bestFit="1" customWidth="1"/>
    <col min="13077" max="13077" width="9.81640625" style="244" bestFit="1" customWidth="1"/>
    <col min="13078" max="13084" width="12.54296875" style="244" bestFit="1" customWidth="1"/>
    <col min="13085" max="13085" width="9.1796875" style="244"/>
    <col min="13086" max="13087" width="9.7265625" style="244" bestFit="1" customWidth="1"/>
    <col min="13088" max="13088" width="13" style="244" bestFit="1" customWidth="1"/>
    <col min="13089" max="13306" width="9.1796875" style="244"/>
    <col min="13307" max="13307" width="3.26953125" style="244" customWidth="1"/>
    <col min="13308" max="13313" width="11" style="244" customWidth="1"/>
    <col min="13314" max="13314" width="2.453125" style="244" customWidth="1"/>
    <col min="13315" max="13315" width="4.81640625" style="244" customWidth="1"/>
    <col min="13316" max="13318" width="11" style="244" customWidth="1"/>
    <col min="13319" max="13319" width="2.453125" style="244" customWidth="1"/>
    <col min="13320" max="13320" width="9.54296875" style="244" customWidth="1"/>
    <col min="13321" max="13322" width="9" style="244" customWidth="1"/>
    <col min="13323" max="13323" width="9.26953125" style="244" customWidth="1"/>
    <col min="13324" max="13324" width="9" style="244" customWidth="1"/>
    <col min="13325" max="13325" width="6.26953125" style="244" customWidth="1"/>
    <col min="13326" max="13326" width="9" style="244" customWidth="1"/>
    <col min="13327" max="13327" width="2.453125" style="244" customWidth="1"/>
    <col min="13328" max="13330" width="8.7265625" style="244" customWidth="1"/>
    <col min="13331" max="13331" width="9.54296875" style="244" customWidth="1"/>
    <col min="13332" max="13332" width="10.26953125" style="244" bestFit="1" customWidth="1"/>
    <col min="13333" max="13333" width="9.81640625" style="244" bestFit="1" customWidth="1"/>
    <col min="13334" max="13340" width="12.54296875" style="244" bestFit="1" customWidth="1"/>
    <col min="13341" max="13341" width="9.1796875" style="244"/>
    <col min="13342" max="13343" width="9.7265625" style="244" bestFit="1" customWidth="1"/>
    <col min="13344" max="13344" width="13" style="244" bestFit="1" customWidth="1"/>
    <col min="13345" max="13562" width="9.1796875" style="244"/>
    <col min="13563" max="13563" width="3.26953125" style="244" customWidth="1"/>
    <col min="13564" max="13569" width="11" style="244" customWidth="1"/>
    <col min="13570" max="13570" width="2.453125" style="244" customWidth="1"/>
    <col min="13571" max="13571" width="4.81640625" style="244" customWidth="1"/>
    <col min="13572" max="13574" width="11" style="244" customWidth="1"/>
    <col min="13575" max="13575" width="2.453125" style="244" customWidth="1"/>
    <col min="13576" max="13576" width="9.54296875" style="244" customWidth="1"/>
    <col min="13577" max="13578" width="9" style="244" customWidth="1"/>
    <col min="13579" max="13579" width="9.26953125" style="244" customWidth="1"/>
    <col min="13580" max="13580" width="9" style="244" customWidth="1"/>
    <col min="13581" max="13581" width="6.26953125" style="244" customWidth="1"/>
    <col min="13582" max="13582" width="9" style="244" customWidth="1"/>
    <col min="13583" max="13583" width="2.453125" style="244" customWidth="1"/>
    <col min="13584" max="13586" width="8.7265625" style="244" customWidth="1"/>
    <col min="13587" max="13587" width="9.54296875" style="244" customWidth="1"/>
    <col min="13588" max="13588" width="10.26953125" style="244" bestFit="1" customWidth="1"/>
    <col min="13589" max="13589" width="9.81640625" style="244" bestFit="1" customWidth="1"/>
    <col min="13590" max="13596" width="12.54296875" style="244" bestFit="1" customWidth="1"/>
    <col min="13597" max="13597" width="9.1796875" style="244"/>
    <col min="13598" max="13599" width="9.7265625" style="244" bestFit="1" customWidth="1"/>
    <col min="13600" max="13600" width="13" style="244" bestFit="1" customWidth="1"/>
    <col min="13601" max="13818" width="9.1796875" style="244"/>
    <col min="13819" max="13819" width="3.26953125" style="244" customWidth="1"/>
    <col min="13820" max="13825" width="11" style="244" customWidth="1"/>
    <col min="13826" max="13826" width="2.453125" style="244" customWidth="1"/>
    <col min="13827" max="13827" width="4.81640625" style="244" customWidth="1"/>
    <col min="13828" max="13830" width="11" style="244" customWidth="1"/>
    <col min="13831" max="13831" width="2.453125" style="244" customWidth="1"/>
    <col min="13832" max="13832" width="9.54296875" style="244" customWidth="1"/>
    <col min="13833" max="13834" width="9" style="244" customWidth="1"/>
    <col min="13835" max="13835" width="9.26953125" style="244" customWidth="1"/>
    <col min="13836" max="13836" width="9" style="244" customWidth="1"/>
    <col min="13837" max="13837" width="6.26953125" style="244" customWidth="1"/>
    <col min="13838" max="13838" width="9" style="244" customWidth="1"/>
    <col min="13839" max="13839" width="2.453125" style="244" customWidth="1"/>
    <col min="13840" max="13842" width="8.7265625" style="244" customWidth="1"/>
    <col min="13843" max="13843" width="9.54296875" style="244" customWidth="1"/>
    <col min="13844" max="13844" width="10.26953125" style="244" bestFit="1" customWidth="1"/>
    <col min="13845" max="13845" width="9.81640625" style="244" bestFit="1" customWidth="1"/>
    <col min="13846" max="13852" width="12.54296875" style="244" bestFit="1" customWidth="1"/>
    <col min="13853" max="13853" width="9.1796875" style="244"/>
    <col min="13854" max="13855" width="9.7265625" style="244" bestFit="1" customWidth="1"/>
    <col min="13856" max="13856" width="13" style="244" bestFit="1" customWidth="1"/>
    <col min="13857" max="14074" width="9.1796875" style="244"/>
    <col min="14075" max="14075" width="3.26953125" style="244" customWidth="1"/>
    <col min="14076" max="14081" width="11" style="244" customWidth="1"/>
    <col min="14082" max="14082" width="2.453125" style="244" customWidth="1"/>
    <col min="14083" max="14083" width="4.81640625" style="244" customWidth="1"/>
    <col min="14084" max="14086" width="11" style="244" customWidth="1"/>
    <col min="14087" max="14087" width="2.453125" style="244" customWidth="1"/>
    <col min="14088" max="14088" width="9.54296875" style="244" customWidth="1"/>
    <col min="14089" max="14090" width="9" style="244" customWidth="1"/>
    <col min="14091" max="14091" width="9.26953125" style="244" customWidth="1"/>
    <col min="14092" max="14092" width="9" style="244" customWidth="1"/>
    <col min="14093" max="14093" width="6.26953125" style="244" customWidth="1"/>
    <col min="14094" max="14094" width="9" style="244" customWidth="1"/>
    <col min="14095" max="14095" width="2.453125" style="244" customWidth="1"/>
    <col min="14096" max="14098" width="8.7265625" style="244" customWidth="1"/>
    <col min="14099" max="14099" width="9.54296875" style="244" customWidth="1"/>
    <col min="14100" max="14100" width="10.26953125" style="244" bestFit="1" customWidth="1"/>
    <col min="14101" max="14101" width="9.81640625" style="244" bestFit="1" customWidth="1"/>
    <col min="14102" max="14108" width="12.54296875" style="244" bestFit="1" customWidth="1"/>
    <col min="14109" max="14109" width="9.1796875" style="244"/>
    <col min="14110" max="14111" width="9.7265625" style="244" bestFit="1" customWidth="1"/>
    <col min="14112" max="14112" width="13" style="244" bestFit="1" customWidth="1"/>
    <col min="14113" max="14330" width="9.1796875" style="244"/>
    <col min="14331" max="14331" width="3.26953125" style="244" customWidth="1"/>
    <col min="14332" max="14337" width="11" style="244" customWidth="1"/>
    <col min="14338" max="14338" width="2.453125" style="244" customWidth="1"/>
    <col min="14339" max="14339" width="4.81640625" style="244" customWidth="1"/>
    <col min="14340" max="14342" width="11" style="244" customWidth="1"/>
    <col min="14343" max="14343" width="2.453125" style="244" customWidth="1"/>
    <col min="14344" max="14344" width="9.54296875" style="244" customWidth="1"/>
    <col min="14345" max="14346" width="9" style="244" customWidth="1"/>
    <col min="14347" max="14347" width="9.26953125" style="244" customWidth="1"/>
    <col min="14348" max="14348" width="9" style="244" customWidth="1"/>
    <col min="14349" max="14349" width="6.26953125" style="244" customWidth="1"/>
    <col min="14350" max="14350" width="9" style="244" customWidth="1"/>
    <col min="14351" max="14351" width="2.453125" style="244" customWidth="1"/>
    <col min="14352" max="14354" width="8.7265625" style="244" customWidth="1"/>
    <col min="14355" max="14355" width="9.54296875" style="244" customWidth="1"/>
    <col min="14356" max="14356" width="10.26953125" style="244" bestFit="1" customWidth="1"/>
    <col min="14357" max="14357" width="9.81640625" style="244" bestFit="1" customWidth="1"/>
    <col min="14358" max="14364" width="12.54296875" style="244" bestFit="1" customWidth="1"/>
    <col min="14365" max="14365" width="9.1796875" style="244"/>
    <col min="14366" max="14367" width="9.7265625" style="244" bestFit="1" customWidth="1"/>
    <col min="14368" max="14368" width="13" style="244" bestFit="1" customWidth="1"/>
    <col min="14369" max="14586" width="9.1796875" style="244"/>
    <col min="14587" max="14587" width="3.26953125" style="244" customWidth="1"/>
    <col min="14588" max="14593" width="11" style="244" customWidth="1"/>
    <col min="14594" max="14594" width="2.453125" style="244" customWidth="1"/>
    <col min="14595" max="14595" width="4.81640625" style="244" customWidth="1"/>
    <col min="14596" max="14598" width="11" style="244" customWidth="1"/>
    <col min="14599" max="14599" width="2.453125" style="244" customWidth="1"/>
    <col min="14600" max="14600" width="9.54296875" style="244" customWidth="1"/>
    <col min="14601" max="14602" width="9" style="244" customWidth="1"/>
    <col min="14603" max="14603" width="9.26953125" style="244" customWidth="1"/>
    <col min="14604" max="14604" width="9" style="244" customWidth="1"/>
    <col min="14605" max="14605" width="6.26953125" style="244" customWidth="1"/>
    <col min="14606" max="14606" width="9" style="244" customWidth="1"/>
    <col min="14607" max="14607" width="2.453125" style="244" customWidth="1"/>
    <col min="14608" max="14610" width="8.7265625" style="244" customWidth="1"/>
    <col min="14611" max="14611" width="9.54296875" style="244" customWidth="1"/>
    <col min="14612" max="14612" width="10.26953125" style="244" bestFit="1" customWidth="1"/>
    <col min="14613" max="14613" width="9.81640625" style="244" bestFit="1" customWidth="1"/>
    <col min="14614" max="14620" width="12.54296875" style="244" bestFit="1" customWidth="1"/>
    <col min="14621" max="14621" width="9.1796875" style="244"/>
    <col min="14622" max="14623" width="9.7265625" style="244" bestFit="1" customWidth="1"/>
    <col min="14624" max="14624" width="13" style="244" bestFit="1" customWidth="1"/>
    <col min="14625" max="14842" width="9.1796875" style="244"/>
    <col min="14843" max="14843" width="3.26953125" style="244" customWidth="1"/>
    <col min="14844" max="14849" width="11" style="244" customWidth="1"/>
    <col min="14850" max="14850" width="2.453125" style="244" customWidth="1"/>
    <col min="14851" max="14851" width="4.81640625" style="244" customWidth="1"/>
    <col min="14852" max="14854" width="11" style="244" customWidth="1"/>
    <col min="14855" max="14855" width="2.453125" style="244" customWidth="1"/>
    <col min="14856" max="14856" width="9.54296875" style="244" customWidth="1"/>
    <col min="14857" max="14858" width="9" style="244" customWidth="1"/>
    <col min="14859" max="14859" width="9.26953125" style="244" customWidth="1"/>
    <col min="14860" max="14860" width="9" style="244" customWidth="1"/>
    <col min="14861" max="14861" width="6.26953125" style="244" customWidth="1"/>
    <col min="14862" max="14862" width="9" style="244" customWidth="1"/>
    <col min="14863" max="14863" width="2.453125" style="244" customWidth="1"/>
    <col min="14864" max="14866" width="8.7265625" style="244" customWidth="1"/>
    <col min="14867" max="14867" width="9.54296875" style="244" customWidth="1"/>
    <col min="14868" max="14868" width="10.26953125" style="244" bestFit="1" customWidth="1"/>
    <col min="14869" max="14869" width="9.81640625" style="244" bestFit="1" customWidth="1"/>
    <col min="14870" max="14876" width="12.54296875" style="244" bestFit="1" customWidth="1"/>
    <col min="14877" max="14877" width="9.1796875" style="244"/>
    <col min="14878" max="14879" width="9.7265625" style="244" bestFit="1" customWidth="1"/>
    <col min="14880" max="14880" width="13" style="244" bestFit="1" customWidth="1"/>
    <col min="14881" max="15098" width="9.1796875" style="244"/>
    <col min="15099" max="15099" width="3.26953125" style="244" customWidth="1"/>
    <col min="15100" max="15105" width="11" style="244" customWidth="1"/>
    <col min="15106" max="15106" width="2.453125" style="244" customWidth="1"/>
    <col min="15107" max="15107" width="4.81640625" style="244" customWidth="1"/>
    <col min="15108" max="15110" width="11" style="244" customWidth="1"/>
    <col min="15111" max="15111" width="2.453125" style="244" customWidth="1"/>
    <col min="15112" max="15112" width="9.54296875" style="244" customWidth="1"/>
    <col min="15113" max="15114" width="9" style="244" customWidth="1"/>
    <col min="15115" max="15115" width="9.26953125" style="244" customWidth="1"/>
    <col min="15116" max="15116" width="9" style="244" customWidth="1"/>
    <col min="15117" max="15117" width="6.26953125" style="244" customWidth="1"/>
    <col min="15118" max="15118" width="9" style="244" customWidth="1"/>
    <col min="15119" max="15119" width="2.453125" style="244" customWidth="1"/>
    <col min="15120" max="15122" width="8.7265625" style="244" customWidth="1"/>
    <col min="15123" max="15123" width="9.54296875" style="244" customWidth="1"/>
    <col min="15124" max="15124" width="10.26953125" style="244" bestFit="1" customWidth="1"/>
    <col min="15125" max="15125" width="9.81640625" style="244" bestFit="1" customWidth="1"/>
    <col min="15126" max="15132" width="12.54296875" style="244" bestFit="1" customWidth="1"/>
    <col min="15133" max="15133" width="9.1796875" style="244"/>
    <col min="15134" max="15135" width="9.7265625" style="244" bestFit="1" customWidth="1"/>
    <col min="15136" max="15136" width="13" style="244" bestFit="1" customWidth="1"/>
    <col min="15137" max="15354" width="9.1796875" style="244"/>
    <col min="15355" max="15355" width="3.26953125" style="244" customWidth="1"/>
    <col min="15356" max="15361" width="11" style="244" customWidth="1"/>
    <col min="15362" max="15362" width="2.453125" style="244" customWidth="1"/>
    <col min="15363" max="15363" width="4.81640625" style="244" customWidth="1"/>
    <col min="15364" max="15366" width="11" style="244" customWidth="1"/>
    <col min="15367" max="15367" width="2.453125" style="244" customWidth="1"/>
    <col min="15368" max="15368" width="9.54296875" style="244" customWidth="1"/>
    <col min="15369" max="15370" width="9" style="244" customWidth="1"/>
    <col min="15371" max="15371" width="9.26953125" style="244" customWidth="1"/>
    <col min="15372" max="15372" width="9" style="244" customWidth="1"/>
    <col min="15373" max="15373" width="6.26953125" style="244" customWidth="1"/>
    <col min="15374" max="15374" width="9" style="244" customWidth="1"/>
    <col min="15375" max="15375" width="2.453125" style="244" customWidth="1"/>
    <col min="15376" max="15378" width="8.7265625" style="244" customWidth="1"/>
    <col min="15379" max="15379" width="9.54296875" style="244" customWidth="1"/>
    <col min="15380" max="15380" width="10.26953125" style="244" bestFit="1" customWidth="1"/>
    <col min="15381" max="15381" width="9.81640625" style="244" bestFit="1" customWidth="1"/>
    <col min="15382" max="15388" width="12.54296875" style="244" bestFit="1" customWidth="1"/>
    <col min="15389" max="15389" width="9.1796875" style="244"/>
    <col min="15390" max="15391" width="9.7265625" style="244" bestFit="1" customWidth="1"/>
    <col min="15392" max="15392" width="13" style="244" bestFit="1" customWidth="1"/>
    <col min="15393" max="15610" width="9.1796875" style="244"/>
    <col min="15611" max="15611" width="3.26953125" style="244" customWidth="1"/>
    <col min="15612" max="15617" width="11" style="244" customWidth="1"/>
    <col min="15618" max="15618" width="2.453125" style="244" customWidth="1"/>
    <col min="15619" max="15619" width="4.81640625" style="244" customWidth="1"/>
    <col min="15620" max="15622" width="11" style="244" customWidth="1"/>
    <col min="15623" max="15623" width="2.453125" style="244" customWidth="1"/>
    <col min="15624" max="15624" width="9.54296875" style="244" customWidth="1"/>
    <col min="15625" max="15626" width="9" style="244" customWidth="1"/>
    <col min="15627" max="15627" width="9.26953125" style="244" customWidth="1"/>
    <col min="15628" max="15628" width="9" style="244" customWidth="1"/>
    <col min="15629" max="15629" width="6.26953125" style="244" customWidth="1"/>
    <col min="15630" max="15630" width="9" style="244" customWidth="1"/>
    <col min="15631" max="15631" width="2.453125" style="244" customWidth="1"/>
    <col min="15632" max="15634" width="8.7265625" style="244" customWidth="1"/>
    <col min="15635" max="15635" width="9.54296875" style="244" customWidth="1"/>
    <col min="15636" max="15636" width="10.26953125" style="244" bestFit="1" customWidth="1"/>
    <col min="15637" max="15637" width="9.81640625" style="244" bestFit="1" customWidth="1"/>
    <col min="15638" max="15644" width="12.54296875" style="244" bestFit="1" customWidth="1"/>
    <col min="15645" max="15645" width="9.1796875" style="244"/>
    <col min="15646" max="15647" width="9.7265625" style="244" bestFit="1" customWidth="1"/>
    <col min="15648" max="15648" width="13" style="244" bestFit="1" customWidth="1"/>
    <col min="15649" max="15866" width="9.1796875" style="244"/>
    <col min="15867" max="15867" width="3.26953125" style="244" customWidth="1"/>
    <col min="15868" max="15873" width="11" style="244" customWidth="1"/>
    <col min="15874" max="15874" width="2.453125" style="244" customWidth="1"/>
    <col min="15875" max="15875" width="4.81640625" style="244" customWidth="1"/>
    <col min="15876" max="15878" width="11" style="244" customWidth="1"/>
    <col min="15879" max="15879" width="2.453125" style="244" customWidth="1"/>
    <col min="15880" max="15880" width="9.54296875" style="244" customWidth="1"/>
    <col min="15881" max="15882" width="9" style="244" customWidth="1"/>
    <col min="15883" max="15883" width="9.26953125" style="244" customWidth="1"/>
    <col min="15884" max="15884" width="9" style="244" customWidth="1"/>
    <col min="15885" max="15885" width="6.26953125" style="244" customWidth="1"/>
    <col min="15886" max="15886" width="9" style="244" customWidth="1"/>
    <col min="15887" max="15887" width="2.453125" style="244" customWidth="1"/>
    <col min="15888" max="15890" width="8.7265625" style="244" customWidth="1"/>
    <col min="15891" max="15891" width="9.54296875" style="244" customWidth="1"/>
    <col min="15892" max="15892" width="10.26953125" style="244" bestFit="1" customWidth="1"/>
    <col min="15893" max="15893" width="9.81640625" style="244" bestFit="1" customWidth="1"/>
    <col min="15894" max="15900" width="12.54296875" style="244" bestFit="1" customWidth="1"/>
    <col min="15901" max="15901" width="9.1796875" style="244"/>
    <col min="15902" max="15903" width="9.7265625" style="244" bestFit="1" customWidth="1"/>
    <col min="15904" max="15904" width="13" style="244" bestFit="1" customWidth="1"/>
    <col min="15905" max="16122" width="9.1796875" style="244"/>
    <col min="16123" max="16123" width="3.26953125" style="244" customWidth="1"/>
    <col min="16124" max="16129" width="11" style="244" customWidth="1"/>
    <col min="16130" max="16130" width="2.453125" style="244" customWidth="1"/>
    <col min="16131" max="16131" width="4.81640625" style="244" customWidth="1"/>
    <col min="16132" max="16134" width="11" style="244" customWidth="1"/>
    <col min="16135" max="16135" width="2.453125" style="244" customWidth="1"/>
    <col min="16136" max="16136" width="9.54296875" style="244" customWidth="1"/>
    <col min="16137" max="16138" width="9" style="244" customWidth="1"/>
    <col min="16139" max="16139" width="9.26953125" style="244" customWidth="1"/>
    <col min="16140" max="16140" width="9" style="244" customWidth="1"/>
    <col min="16141" max="16141" width="6.26953125" style="244" customWidth="1"/>
    <col min="16142" max="16142" width="9" style="244" customWidth="1"/>
    <col min="16143" max="16143" width="2.453125" style="244" customWidth="1"/>
    <col min="16144" max="16146" width="8.7265625" style="244" customWidth="1"/>
    <col min="16147" max="16147" width="9.54296875" style="244" customWidth="1"/>
    <col min="16148" max="16148" width="10.26953125" style="244" bestFit="1" customWidth="1"/>
    <col min="16149" max="16149" width="9.81640625" style="244" bestFit="1" customWidth="1"/>
    <col min="16150" max="16156" width="12.54296875" style="244" bestFit="1" customWidth="1"/>
    <col min="16157" max="16157" width="9.1796875" style="244"/>
    <col min="16158" max="16159" width="9.7265625" style="244" bestFit="1" customWidth="1"/>
    <col min="16160" max="16160" width="13" style="244" bestFit="1" customWidth="1"/>
    <col min="16161" max="16384" width="9.1796875" style="244"/>
  </cols>
  <sheetData>
    <row r="1" spans="1:12" ht="13" thickBot="1" x14ac:dyDescent="0.3">
      <c r="B1" s="380" t="s">
        <v>393</v>
      </c>
      <c r="C1" s="380"/>
      <c r="D1" s="380"/>
      <c r="E1" s="380"/>
      <c r="F1" s="380"/>
      <c r="G1" s="380"/>
      <c r="I1" s="380" t="s">
        <v>392</v>
      </c>
      <c r="J1" s="380"/>
      <c r="K1" s="380"/>
      <c r="L1" s="380"/>
    </row>
    <row r="2" spans="1:12" s="277" customFormat="1" ht="13" thickBot="1" x14ac:dyDescent="0.3">
      <c r="B2" s="284">
        <v>0.25</v>
      </c>
      <c r="C2" s="283">
        <v>0.5</v>
      </c>
      <c r="D2" s="280">
        <v>0.75</v>
      </c>
      <c r="E2" s="280">
        <v>1</v>
      </c>
      <c r="F2" s="280">
        <v>1.25</v>
      </c>
      <c r="G2" s="282">
        <v>1.5</v>
      </c>
      <c r="I2" s="281">
        <v>0</v>
      </c>
      <c r="J2" s="279">
        <v>0.5</v>
      </c>
      <c r="K2" s="280">
        <v>1</v>
      </c>
      <c r="L2" s="282">
        <v>1.5</v>
      </c>
    </row>
    <row r="3" spans="1:12" s="277" customFormat="1" x14ac:dyDescent="0.25">
      <c r="A3" s="244">
        <v>1</v>
      </c>
      <c r="B3" s="255">
        <v>-0.20635842837701701</v>
      </c>
      <c r="C3" s="256">
        <v>-8.9873103856493802E-2</v>
      </c>
      <c r="D3" s="255">
        <v>0.57045070035877699</v>
      </c>
      <c r="E3" s="255">
        <v>-0.184051331445926</v>
      </c>
      <c r="F3" s="255">
        <v>-0.142177312815709</v>
      </c>
      <c r="G3" s="255">
        <v>-0.75094807473681602</v>
      </c>
      <c r="H3" s="244">
        <v>1</v>
      </c>
      <c r="I3" s="254"/>
      <c r="J3" s="290">
        <v>0</v>
      </c>
      <c r="K3" s="276">
        <v>1.2701170135723499E-4</v>
      </c>
      <c r="L3" s="276">
        <v>0</v>
      </c>
    </row>
    <row r="4" spans="1:12" x14ac:dyDescent="0.25">
      <c r="A4" s="244">
        <v>2</v>
      </c>
      <c r="B4" s="255">
        <f t="shared" ref="B4:G4" si="0">-B3</f>
        <v>0.20635842837701701</v>
      </c>
      <c r="C4" s="256">
        <f t="shared" si="0"/>
        <v>8.9873103856493802E-2</v>
      </c>
      <c r="D4" s="255">
        <f t="shared" si="0"/>
        <v>-0.57045070035877699</v>
      </c>
      <c r="E4" s="255">
        <f t="shared" si="0"/>
        <v>0.184051331445926</v>
      </c>
      <c r="F4" s="255">
        <f t="shared" si="0"/>
        <v>0.142177312815709</v>
      </c>
      <c r="G4" s="255">
        <f t="shared" si="0"/>
        <v>0.75094807473681602</v>
      </c>
      <c r="H4" s="244">
        <v>2</v>
      </c>
      <c r="I4" s="254"/>
      <c r="J4" s="290">
        <v>5.6665157562040404E-4</v>
      </c>
      <c r="K4" s="276">
        <v>0</v>
      </c>
      <c r="L4" s="276">
        <v>4.2236107117535798E-4</v>
      </c>
    </row>
    <row r="5" spans="1:12" x14ac:dyDescent="0.25">
      <c r="A5" s="244">
        <v>3</v>
      </c>
      <c r="B5" s="255">
        <v>0.160689369767641</v>
      </c>
      <c r="C5" s="256">
        <v>0.31418588549190202</v>
      </c>
      <c r="D5" s="255">
        <v>-2.15993316990356E-2</v>
      </c>
      <c r="E5" s="255">
        <v>0.30610846044781098</v>
      </c>
      <c r="F5" s="255">
        <v>0.17107225249791999</v>
      </c>
      <c r="G5" s="255">
        <v>0.42817411587238702</v>
      </c>
      <c r="H5" s="244">
        <v>3</v>
      </c>
      <c r="I5" s="254"/>
      <c r="J5" s="290">
        <v>8.4910717277450996E-4</v>
      </c>
      <c r="K5" s="276">
        <v>8.8344717654025105E-4</v>
      </c>
      <c r="L5" s="276">
        <v>8.0237784139265103E-4</v>
      </c>
    </row>
    <row r="6" spans="1:12" x14ac:dyDescent="0.25">
      <c r="A6" s="244">
        <v>4</v>
      </c>
      <c r="B6" s="255">
        <f t="shared" ref="B6:G6" si="1">-B5</f>
        <v>-0.160689369767641</v>
      </c>
      <c r="C6" s="256">
        <f t="shared" si="1"/>
        <v>-0.31418588549190202</v>
      </c>
      <c r="D6" s="255">
        <f t="shared" si="1"/>
        <v>2.15993316990356E-2</v>
      </c>
      <c r="E6" s="255">
        <f t="shared" si="1"/>
        <v>-0.30610846044781098</v>
      </c>
      <c r="F6" s="255">
        <f t="shared" si="1"/>
        <v>-0.17107225249791999</v>
      </c>
      <c r="G6" s="255">
        <f t="shared" si="1"/>
        <v>-0.42817411587238702</v>
      </c>
      <c r="H6" s="244">
        <v>4</v>
      </c>
      <c r="I6" s="254"/>
      <c r="J6" s="290">
        <v>0</v>
      </c>
      <c r="K6" s="276">
        <v>0</v>
      </c>
      <c r="L6" s="276">
        <v>0</v>
      </c>
    </row>
    <row r="7" spans="1:12" x14ac:dyDescent="0.25">
      <c r="A7" s="244">
        <v>5</v>
      </c>
      <c r="B7" s="255">
        <v>0.36097273745326902</v>
      </c>
      <c r="C7" s="256">
        <v>0.311006369527559</v>
      </c>
      <c r="D7" s="255">
        <v>-0.16755545271313299</v>
      </c>
      <c r="E7" s="255">
        <v>0.25962152882136502</v>
      </c>
      <c r="F7" s="255">
        <v>-0.28438653983552598</v>
      </c>
      <c r="G7" s="255">
        <v>0.21854556695901001</v>
      </c>
      <c r="H7" s="244">
        <v>5</v>
      </c>
      <c r="I7" s="254"/>
      <c r="J7" s="290">
        <v>1.16888850090587E-3</v>
      </c>
      <c r="K7" s="276">
        <v>8.7707246605236598E-4</v>
      </c>
      <c r="L7" s="276">
        <v>3.9205114808093801E-4</v>
      </c>
    </row>
    <row r="8" spans="1:12" x14ac:dyDescent="0.25">
      <c r="A8" s="244">
        <v>6</v>
      </c>
      <c r="B8" s="255">
        <f t="shared" ref="B8:G8" si="2">-B7</f>
        <v>-0.36097273745326902</v>
      </c>
      <c r="C8" s="256">
        <f t="shared" si="2"/>
        <v>-0.311006369527559</v>
      </c>
      <c r="D8" s="255">
        <f t="shared" si="2"/>
        <v>0.16755545271313299</v>
      </c>
      <c r="E8" s="255">
        <f t="shared" si="2"/>
        <v>-0.25962152882136502</v>
      </c>
      <c r="F8" s="255">
        <f t="shared" si="2"/>
        <v>0.28438653983552598</v>
      </c>
      <c r="G8" s="255">
        <f t="shared" si="2"/>
        <v>-0.21854556695901001</v>
      </c>
      <c r="H8" s="244">
        <v>6</v>
      </c>
      <c r="I8" s="254"/>
      <c r="J8" s="290">
        <v>0</v>
      </c>
      <c r="K8" s="276">
        <v>0</v>
      </c>
      <c r="L8" s="276">
        <v>0</v>
      </c>
    </row>
    <row r="9" spans="1:12" x14ac:dyDescent="0.25">
      <c r="A9" s="244">
        <v>7</v>
      </c>
      <c r="B9" s="255">
        <v>-0.42508812607954</v>
      </c>
      <c r="C9" s="256">
        <v>-0.59390567986030296</v>
      </c>
      <c r="D9" s="255">
        <v>0.18112286582504999</v>
      </c>
      <c r="E9" s="255">
        <v>-0.38589332926706299</v>
      </c>
      <c r="F9" s="255">
        <v>-0.18303884835871601</v>
      </c>
      <c r="G9" s="255">
        <v>0.90290893902347502</v>
      </c>
      <c r="H9" s="244">
        <v>7</v>
      </c>
      <c r="I9" s="254"/>
      <c r="J9" s="290">
        <v>0</v>
      </c>
      <c r="K9" s="276">
        <v>0</v>
      </c>
      <c r="L9" s="276">
        <v>0</v>
      </c>
    </row>
    <row r="10" spans="1:12" ht="14.25" customHeight="1" x14ac:dyDescent="0.25">
      <c r="A10" s="244">
        <v>8</v>
      </c>
      <c r="B10" s="255">
        <f t="shared" ref="B10:G10" si="3">-B9</f>
        <v>0.42508812607954</v>
      </c>
      <c r="C10" s="256">
        <f t="shared" si="3"/>
        <v>0.59390567986030296</v>
      </c>
      <c r="D10" s="255">
        <f t="shared" si="3"/>
        <v>-0.18112286582504999</v>
      </c>
      <c r="E10" s="255">
        <f t="shared" si="3"/>
        <v>0.38589332926706299</v>
      </c>
      <c r="F10" s="255">
        <f t="shared" si="3"/>
        <v>0.18303884835871601</v>
      </c>
      <c r="G10" s="255">
        <f t="shared" si="3"/>
        <v>-0.90290893902347502</v>
      </c>
      <c r="H10" s="244">
        <v>8</v>
      </c>
      <c r="I10" s="254"/>
      <c r="J10" s="290">
        <v>1.74168457734927E-3</v>
      </c>
      <c r="K10" s="276">
        <v>1.39742216909897E-3</v>
      </c>
      <c r="L10" s="276">
        <v>2.16191088733255E-4</v>
      </c>
    </row>
    <row r="11" spans="1:12" ht="12.75" customHeight="1" x14ac:dyDescent="0.25"/>
    <row r="14" spans="1:12" ht="13" thickBot="1" x14ac:dyDescent="0.3"/>
    <row r="15" spans="1:12" ht="13" thickBot="1" x14ac:dyDescent="0.3">
      <c r="B15" s="265">
        <v>1</v>
      </c>
      <c r="C15" s="268">
        <v>0.5</v>
      </c>
      <c r="E15" s="252" t="s">
        <v>391</v>
      </c>
      <c r="F15" s="294">
        <v>0.5</v>
      </c>
      <c r="G15" s="266" t="s">
        <v>390</v>
      </c>
      <c r="H15" s="293">
        <v>0.5</v>
      </c>
    </row>
    <row r="16" spans="1:12" ht="13" thickBot="1" x14ac:dyDescent="0.3">
      <c r="B16" s="292" t="s">
        <v>389</v>
      </c>
      <c r="C16" s="263" t="s">
        <v>388</v>
      </c>
      <c r="D16" s="262" t="s">
        <v>387</v>
      </c>
      <c r="E16" s="260" t="s">
        <v>386</v>
      </c>
      <c r="F16" s="261" t="s">
        <v>385</v>
      </c>
      <c r="G16" s="260" t="s">
        <v>384</v>
      </c>
      <c r="H16" s="291" t="s">
        <v>383</v>
      </c>
    </row>
    <row r="17" spans="1:9" x14ac:dyDescent="0.25">
      <c r="A17" s="244">
        <v>1</v>
      </c>
      <c r="B17" s="251">
        <v>0</v>
      </c>
      <c r="C17" s="289">
        <v>-8.9873103856493802E-2</v>
      </c>
      <c r="D17" s="288">
        <f t="shared" ref="D17:D24" si="4">C17^2</f>
        <v>8.0771747968001219E-3</v>
      </c>
      <c r="E17" s="276">
        <f t="shared" ref="E17:E24" si="5">$E$26+$D$26*C17+$C$26*D17</f>
        <v>1.6438019143183609E-4</v>
      </c>
      <c r="F17" s="290">
        <v>0</v>
      </c>
      <c r="G17" s="252" t="str">
        <f t="shared" ref="G17:G24" si="6">IF(J3&gt;E17,"○","-")</f>
        <v>-</v>
      </c>
      <c r="H17" s="254">
        <v>0</v>
      </c>
    </row>
    <row r="18" spans="1:9" x14ac:dyDescent="0.25">
      <c r="A18" s="244">
        <v>2</v>
      </c>
      <c r="B18" s="251">
        <v>4.2236107117535798E-4</v>
      </c>
      <c r="C18" s="289">
        <v>8.9873103856493802E-2</v>
      </c>
      <c r="D18" s="288">
        <f t="shared" si="4"/>
        <v>8.0771747968001219E-3</v>
      </c>
      <c r="E18" s="276">
        <f t="shared" si="5"/>
        <v>3.9352889939585421E-4</v>
      </c>
      <c r="F18" s="290">
        <v>5.6665157562040404E-4</v>
      </c>
      <c r="G18" s="252" t="str">
        <f t="shared" si="6"/>
        <v>○</v>
      </c>
      <c r="H18" s="254">
        <v>5.6665157562040404E-4</v>
      </c>
    </row>
    <row r="19" spans="1:9" x14ac:dyDescent="0.25">
      <c r="A19" s="244">
        <v>3</v>
      </c>
      <c r="B19" s="251">
        <v>8.8344717654025105E-4</v>
      </c>
      <c r="C19" s="289">
        <v>0.31418588549190202</v>
      </c>
      <c r="D19" s="288">
        <f t="shared" si="4"/>
        <v>9.8712770642330569E-2</v>
      </c>
      <c r="E19" s="276">
        <f t="shared" si="5"/>
        <v>7.9614720982577175E-4</v>
      </c>
      <c r="F19" s="290">
        <v>8.4910717277450996E-4</v>
      </c>
      <c r="G19" s="252" t="str">
        <f t="shared" si="6"/>
        <v>○</v>
      </c>
      <c r="H19" s="254">
        <v>8.4910717277450996E-4</v>
      </c>
    </row>
    <row r="20" spans="1:9" x14ac:dyDescent="0.25">
      <c r="A20" s="244">
        <v>4</v>
      </c>
      <c r="B20" s="251">
        <v>0</v>
      </c>
      <c r="C20" s="289">
        <v>-0.31418588549190202</v>
      </c>
      <c r="D20" s="288">
        <f t="shared" si="4"/>
        <v>9.8712770642330569E-2</v>
      </c>
      <c r="E20" s="276">
        <f t="shared" si="5"/>
        <v>-4.929938193504608E-6</v>
      </c>
      <c r="F20" s="290">
        <v>0</v>
      </c>
      <c r="G20" s="252" t="str">
        <f t="shared" si="6"/>
        <v>○</v>
      </c>
      <c r="H20" s="254">
        <v>0</v>
      </c>
    </row>
    <row r="21" spans="1:9" x14ac:dyDescent="0.25">
      <c r="A21" s="244">
        <v>5</v>
      </c>
      <c r="B21" s="251">
        <v>8.7707246605236598E-4</v>
      </c>
      <c r="C21" s="289">
        <v>0.311006369527559</v>
      </c>
      <c r="D21" s="288">
        <f t="shared" si="4"/>
        <v>9.6724961886712577E-2</v>
      </c>
      <c r="E21" s="276">
        <f t="shared" si="5"/>
        <v>7.8953537389331958E-4</v>
      </c>
      <c r="F21" s="290">
        <v>1.16888850090587E-3</v>
      </c>
      <c r="G21" s="252" t="str">
        <f t="shared" si="6"/>
        <v>○</v>
      </c>
      <c r="H21" s="254">
        <v>1.16888850090587E-3</v>
      </c>
    </row>
    <row r="22" spans="1:9" x14ac:dyDescent="0.25">
      <c r="A22" s="244">
        <v>6</v>
      </c>
      <c r="B22" s="251">
        <v>0</v>
      </c>
      <c r="C22" s="289">
        <v>-0.311006369527559</v>
      </c>
      <c r="D22" s="288">
        <f t="shared" si="4"/>
        <v>9.6724961886712577E-2</v>
      </c>
      <c r="E22" s="276">
        <f t="shared" si="5"/>
        <v>-3.4349886259972778E-6</v>
      </c>
      <c r="F22" s="290">
        <v>0</v>
      </c>
      <c r="G22" s="252" t="str">
        <f t="shared" si="6"/>
        <v>○</v>
      </c>
      <c r="H22" s="254">
        <v>0</v>
      </c>
    </row>
    <row r="23" spans="1:9" x14ac:dyDescent="0.25">
      <c r="A23" s="244">
        <v>7</v>
      </c>
      <c r="B23" s="251">
        <v>0</v>
      </c>
      <c r="C23" s="289">
        <v>-0.59390567986030296</v>
      </c>
      <c r="D23" s="288">
        <f t="shared" si="4"/>
        <v>0.35272395657032868</v>
      </c>
      <c r="E23" s="276">
        <f t="shared" si="5"/>
        <v>-3.4600127021667409E-5</v>
      </c>
      <c r="F23" s="290">
        <v>0</v>
      </c>
      <c r="G23" s="252" t="str">
        <f t="shared" si="6"/>
        <v>○</v>
      </c>
      <c r="H23" s="254">
        <v>0</v>
      </c>
    </row>
    <row r="24" spans="1:9" x14ac:dyDescent="0.25">
      <c r="A24" s="244">
        <v>8</v>
      </c>
      <c r="B24" s="251">
        <v>1.39742216909897E-3</v>
      </c>
      <c r="C24" s="289">
        <v>0.59390567986030296</v>
      </c>
      <c r="D24" s="288">
        <f t="shared" si="4"/>
        <v>0.35272395657032868</v>
      </c>
      <c r="E24" s="276">
        <f t="shared" si="5"/>
        <v>1.4796762621613327E-3</v>
      </c>
      <c r="F24" s="287">
        <v>1.74168457734927E-3</v>
      </c>
      <c r="G24" s="252" t="str">
        <f t="shared" si="6"/>
        <v>○</v>
      </c>
      <c r="H24" s="254">
        <v>1.74168457734927E-3</v>
      </c>
    </row>
    <row r="25" spans="1:9" ht="13" thickBot="1" x14ac:dyDescent="0.3">
      <c r="B25" s="249"/>
      <c r="C25" s="250" t="s">
        <v>382</v>
      </c>
      <c r="D25" s="250" t="s">
        <v>381</v>
      </c>
      <c r="E25" s="250" t="s">
        <v>380</v>
      </c>
      <c r="G25" s="286"/>
      <c r="H25" s="285">
        <f>AVERAGE(H17:H24)</f>
        <v>5.4079147833125676E-4</v>
      </c>
      <c r="I25" s="245" t="s">
        <v>394</v>
      </c>
    </row>
    <row r="26" spans="1:9" x14ac:dyDescent="0.25">
      <c r="B26" s="252" t="s">
        <v>379</v>
      </c>
      <c r="C26" s="246">
        <f t="array" ref="C26:E26">LINEST(B17:B24,C17:D24)</f>
        <v>1.2870670658038275E-3</v>
      </c>
      <c r="D26" s="246">
        <v>1.2748458556072274E-3</v>
      </c>
      <c r="E26" s="246">
        <v>2.6855867974814299E-4</v>
      </c>
    </row>
    <row r="27" spans="1:9" x14ac:dyDescent="0.25">
      <c r="C27" s="245" t="s">
        <v>378</v>
      </c>
    </row>
  </sheetData>
  <mergeCells count="2">
    <mergeCell ref="B1:G1"/>
    <mergeCell ref="I1:L1"/>
  </mergeCells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7"/>
  <dimension ref="A1:A30"/>
  <sheetViews>
    <sheetView showGridLines="0" zoomScaleNormal="100" workbookViewId="0"/>
  </sheetViews>
  <sheetFormatPr defaultColWidth="9.1796875" defaultRowHeight="13" x14ac:dyDescent="0.2"/>
  <cols>
    <col min="1" max="1" width="46.1796875" style="211" customWidth="1"/>
    <col min="2" max="16384" width="9.1796875" style="211"/>
  </cols>
  <sheetData>
    <row r="1" spans="1:1" x14ac:dyDescent="0.2">
      <c r="A1" s="211" t="s">
        <v>311</v>
      </c>
    </row>
    <row r="2" spans="1:1" x14ac:dyDescent="0.2">
      <c r="A2" s="211" t="s">
        <v>312</v>
      </c>
    </row>
    <row r="3" spans="1:1" x14ac:dyDescent="0.2">
      <c r="A3" s="211" t="s">
        <v>313</v>
      </c>
    </row>
    <row r="4" spans="1:1" x14ac:dyDescent="0.2">
      <c r="A4" s="211" t="s">
        <v>314</v>
      </c>
    </row>
    <row r="5" spans="1:1" x14ac:dyDescent="0.2">
      <c r="A5" s="211" t="s">
        <v>315</v>
      </c>
    </row>
    <row r="7" spans="1:1" x14ac:dyDescent="0.2">
      <c r="A7" s="211" t="s">
        <v>316</v>
      </c>
    </row>
    <row r="8" spans="1:1" x14ac:dyDescent="0.2">
      <c r="A8" s="211" t="s">
        <v>317</v>
      </c>
    </row>
    <row r="9" spans="1:1" x14ac:dyDescent="0.2">
      <c r="A9" s="211" t="s">
        <v>318</v>
      </c>
    </row>
    <row r="10" spans="1:1" x14ac:dyDescent="0.2">
      <c r="A10" s="211" t="s">
        <v>319</v>
      </c>
    </row>
    <row r="11" spans="1:1" x14ac:dyDescent="0.2">
      <c r="A11" s="211" t="s">
        <v>320</v>
      </c>
    </row>
    <row r="12" spans="1:1" x14ac:dyDescent="0.2">
      <c r="A12" s="211" t="s">
        <v>321</v>
      </c>
    </row>
    <row r="13" spans="1:1" x14ac:dyDescent="0.2">
      <c r="A13" s="211" t="s">
        <v>322</v>
      </c>
    </row>
    <row r="14" spans="1:1" x14ac:dyDescent="0.2">
      <c r="A14" s="211" t="s">
        <v>323</v>
      </c>
    </row>
    <row r="15" spans="1:1" x14ac:dyDescent="0.2">
      <c r="A15" s="211" t="s">
        <v>324</v>
      </c>
    </row>
    <row r="16" spans="1:1" x14ac:dyDescent="0.2">
      <c r="A16" s="211" t="s">
        <v>325</v>
      </c>
    </row>
    <row r="17" spans="1:1" x14ac:dyDescent="0.2">
      <c r="A17" s="211" t="s">
        <v>326</v>
      </c>
    </row>
    <row r="19" spans="1:1" x14ac:dyDescent="0.2">
      <c r="A19" s="211" t="s">
        <v>327</v>
      </c>
    </row>
    <row r="20" spans="1:1" x14ac:dyDescent="0.2">
      <c r="A20" s="211" t="s">
        <v>328</v>
      </c>
    </row>
    <row r="21" spans="1:1" x14ac:dyDescent="0.2">
      <c r="A21" s="211" t="s">
        <v>329</v>
      </c>
    </row>
    <row r="23" spans="1:1" x14ac:dyDescent="0.2">
      <c r="A23" s="211" t="s">
        <v>330</v>
      </c>
    </row>
    <row r="24" spans="1:1" x14ac:dyDescent="0.2">
      <c r="A24" s="211" t="s">
        <v>331</v>
      </c>
    </row>
    <row r="25" spans="1:1" x14ac:dyDescent="0.2">
      <c r="A25" s="211" t="s">
        <v>332</v>
      </c>
    </row>
    <row r="26" spans="1:1" x14ac:dyDescent="0.2">
      <c r="A26" s="211" t="s">
        <v>333</v>
      </c>
    </row>
    <row r="27" spans="1:1" x14ac:dyDescent="0.2">
      <c r="A27" s="211" t="s">
        <v>334</v>
      </c>
    </row>
    <row r="29" spans="1:1" x14ac:dyDescent="0.2">
      <c r="A29" s="211" t="s">
        <v>335</v>
      </c>
    </row>
    <row r="30" spans="1:1" x14ac:dyDescent="0.2">
      <c r="A30" s="211" t="s">
        <v>324</v>
      </c>
    </row>
  </sheetData>
  <phoneticPr fontId="3"/>
  <pageMargins left="0.7" right="0.7" top="0.75" bottom="0.75" header="0.3" footer="0.3"/>
  <pageSetup paperSize="9" orientation="landscape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28</vt:i4>
      </vt:variant>
    </vt:vector>
  </HeadingPairs>
  <TitlesOfParts>
    <vt:vector size="28" baseType="lpstr">
      <vt:lpstr>8.1</vt:lpstr>
      <vt:lpstr>8.1(2)</vt:lpstr>
      <vt:lpstr>8.1(3)</vt:lpstr>
      <vt:lpstr>8.1(4)</vt:lpstr>
      <vt:lpstr>8.2</vt:lpstr>
      <vt:lpstr>8.4</vt:lpstr>
      <vt:lpstr>8.5GS</vt:lpstr>
      <vt:lpstr>8.5SLV</vt:lpstr>
      <vt:lpstr>9.2</vt:lpstr>
      <vt:lpstr>9.2tbr</vt:lpstr>
      <vt:lpstr>9.5</vt:lpstr>
      <vt:lpstr>9.5tbr</vt:lpstr>
      <vt:lpstr>9.6</vt:lpstr>
      <vt:lpstr>9.6tbr</vt:lpstr>
      <vt:lpstr>9.8</vt:lpstr>
      <vt:lpstr>9.10</vt:lpstr>
      <vt:lpstr>9.11</vt:lpstr>
      <vt:lpstr>9.13</vt:lpstr>
      <vt:lpstr>9.15</vt:lpstr>
      <vt:lpstr>9.16</vt:lpstr>
      <vt:lpstr>9.17</vt:lpstr>
      <vt:lpstr>9.17(2)</vt:lpstr>
      <vt:lpstr>9.18</vt:lpstr>
      <vt:lpstr>9.19</vt:lpstr>
      <vt:lpstr>10.1</vt:lpstr>
      <vt:lpstr>10.5</vt:lpstr>
      <vt:lpstr>10.7</vt:lpstr>
      <vt:lpstr>10.11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K O</cp:lastModifiedBy>
  <cp:lastPrinted>2018-09-13T05:21:28Z</cp:lastPrinted>
  <dcterms:created xsi:type="dcterms:W3CDTF">2010-06-13T16:20:10Z</dcterms:created>
  <dcterms:modified xsi:type="dcterms:W3CDTF">2024-01-12T06:48:18Z</dcterms:modified>
</cp:coreProperties>
</file>